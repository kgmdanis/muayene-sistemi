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showInkAnnotation="0"/>
  <mc:AlternateContent xmlns:mc="http://schemas.openxmlformats.org/markup-compatibility/2006">
    <mc:Choice Requires="x15">
      <x15ac:absPath xmlns:x15ac="http://schemas.microsoft.com/office/spreadsheetml/2010/11/ac" url="C:\Users\hp\Desktop\masaüstü\2-ARA TEKLİFLER\2025\315-PEMA KOLEJİ\"/>
    </mc:Choice>
  </mc:AlternateContent>
  <xr:revisionPtr revIDLastSave="0" documentId="13_ncr:1_{26CEF872-7CA4-4C32-B44F-DD3D7DB72C34}" xr6:coauthVersionLast="47" xr6:coauthVersionMax="47" xr10:uidLastSave="{00000000-0000-0000-0000-000000000000}"/>
  <bookViews>
    <workbookView xWindow="2730" yWindow="2730" windowWidth="19590" windowHeight="12615" tabRatio="500" xr2:uid="{00000000-000D-0000-FFFF-FFFF00000000}"/>
  </bookViews>
  <sheets>
    <sheet name="Sayfa1" sheetId="1" r:id="rId1"/>
    <sheet name="Sayfa2"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118" i="1" l="1"/>
  <c r="G117" i="1"/>
  <c r="G116" i="1"/>
  <c r="G115" i="1"/>
  <c r="G114" i="1"/>
  <c r="G113" i="1"/>
  <c r="G112" i="1"/>
  <c r="G111" i="1"/>
  <c r="G69" i="1"/>
  <c r="G70" i="1"/>
  <c r="G62" i="1"/>
  <c r="G63" i="1"/>
  <c r="G64" i="1"/>
  <c r="G65" i="1"/>
  <c r="G66" i="1"/>
  <c r="G67" i="1"/>
  <c r="G124" i="1"/>
  <c r="G123" i="1"/>
  <c r="G122" i="1"/>
  <c r="G78" i="1"/>
  <c r="G77" i="1"/>
  <c r="G76" i="1"/>
  <c r="G75" i="1"/>
  <c r="G74" i="1"/>
  <c r="G107" i="1"/>
  <c r="G106" i="1"/>
  <c r="G105" i="1"/>
  <c r="G104" i="1"/>
  <c r="G103" i="1"/>
  <c r="G102" i="1"/>
  <c r="G101" i="1"/>
  <c r="G100" i="1"/>
  <c r="G99" i="1"/>
  <c r="G98" i="1"/>
  <c r="G97" i="1"/>
  <c r="G96" i="1"/>
  <c r="G95" i="1"/>
  <c r="G94" i="1"/>
  <c r="G89" i="1"/>
  <c r="G88" i="1"/>
  <c r="G87" i="1"/>
  <c r="G86" i="1"/>
  <c r="G85" i="1"/>
  <c r="G84" i="1"/>
  <c r="G83" i="1"/>
  <c r="G82" i="1"/>
  <c r="G68" i="1"/>
  <c r="G125" i="1"/>
</calcChain>
</file>

<file path=xl/sharedStrings.xml><?xml version="1.0" encoding="utf-8"?>
<sst xmlns="http://schemas.openxmlformats.org/spreadsheetml/2006/main" count="163" uniqueCount="89">
  <si>
    <t>Adet</t>
  </si>
  <si>
    <t>Termal Konfor  Ölçümü</t>
  </si>
  <si>
    <t>Kişisel Maruziyet Gürültü</t>
  </si>
  <si>
    <t>Ortamda Toksik Gaz ve Buhar Tayini</t>
  </si>
  <si>
    <t>Buhar Kazanı</t>
  </si>
  <si>
    <t>İş Ekipmanların Kullanımında Sağlık ve Güvenlik Şartları Yönetmeliği</t>
  </si>
  <si>
    <t>Kalorifer Kazanı</t>
  </si>
  <si>
    <t>Kızgın Su Kazanı</t>
  </si>
  <si>
    <t>Kompresör ve Hava Tankı</t>
  </si>
  <si>
    <t>Hidrofor Tankı</t>
  </si>
  <si>
    <t>Genleşme Tankı</t>
  </si>
  <si>
    <t>Gezer Köprülü Vinç</t>
  </si>
  <si>
    <t>İş Ekipmanların Kullanımında Sağlık ve Güvenlik Şartları Yönetmeliği, Önder Muayene Kuruluş İçi Dökümanları, TS ISO 11662-1, TS ISO 8566-5, TS EN 818-6+A1, TS 10116, TS ISO 9927-1, TS ISO 12480-1,  TS EN 13157+A1, TS EN 13557, TS EN 13557, TS ISO 4309, TS ISO 8566-3, TS EN 14439+A2, TS EN 14492-1+A1, TS ISO 1074, TS 10201 ISO 3184, TS 10689, TS ISO 5057, TS EN ISO 3691-5, TS EN 1493, TS EN 1494+A1, TS EN 1495+A2, TS EN 1808+A1, TS EN 280+A1, TS EN 81-3+A1, TS EN 12999+A1,TS EN 13000:2010+A1</t>
  </si>
  <si>
    <t>Portal Vinç</t>
  </si>
  <si>
    <t>Monoray Vinç</t>
  </si>
  <si>
    <t>Pergel Vinç</t>
  </si>
  <si>
    <t>Gırgır Vinç</t>
  </si>
  <si>
    <t>Kule Vinç</t>
  </si>
  <si>
    <t>Mobil Vinç</t>
  </si>
  <si>
    <t>Caraskal</t>
  </si>
  <si>
    <t>Forklift</t>
  </si>
  <si>
    <t>Transpalet</t>
  </si>
  <si>
    <t>Araç Kaldırma Lifti</t>
  </si>
  <si>
    <t>Yük Asansörü</t>
  </si>
  <si>
    <t xml:space="preserve">Elektrik Tesislerinde Topraklamalar Yönetmeliği, Elektrik İç Tesisleri Yönetmeliği,TS EN 61557-1, TS EN 60439-3, TS EN 62305-1, TS EN 61557-1, TS EN 60439-3 </t>
  </si>
  <si>
    <t>Yangın Tesisatı</t>
  </si>
  <si>
    <t>Havalandırma Tesisatı</t>
  </si>
  <si>
    <t>FİRMA ONAYI (KAŞE / İMZA)</t>
  </si>
  <si>
    <t>ÖNDER MUAYENE ONAYI</t>
  </si>
  <si>
    <t>FİRMA BİLGİLERİ</t>
  </si>
  <si>
    <t>TEKLİF NO</t>
  </si>
  <si>
    <t>FİRMA ADI</t>
  </si>
  <si>
    <t>FİRMA ADRESİ</t>
  </si>
  <si>
    <t>FİRMA YETKİLİSİ</t>
  </si>
  <si>
    <t>E-Mail</t>
  </si>
  <si>
    <t>KONU</t>
  </si>
  <si>
    <t>PERİYODİK KONTROL VE İŞ HİJYENİ ÖLÇÜM FİYAT TEKLİFİ</t>
  </si>
  <si>
    <t xml:space="preserve"> İŞ HİJYENİ ÖLÇÜM  (ORTAM ÖLÇÜM) </t>
  </si>
  <si>
    <t>Ölçüm Paremetresi</t>
  </si>
  <si>
    <t>İç Ortam Gürültü Ölçümü</t>
  </si>
  <si>
    <t xml:space="preserve">İç Ortam Toz  Ölçümü </t>
  </si>
  <si>
    <t xml:space="preserve">Kişisel Maruziyet Toz Ölçümü </t>
  </si>
  <si>
    <t>ASTM 4490-96                                                 Örnekleme ve Ölçüm :Dedektör Tüple Anlık Ölçüm</t>
  </si>
  <si>
    <t>Metod/Kapsam/Açıklama</t>
  </si>
  <si>
    <t>Miktar</t>
  </si>
  <si>
    <t>Birim Fiyat</t>
  </si>
  <si>
    <t>Fiyat</t>
  </si>
  <si>
    <t>Nokta</t>
  </si>
  <si>
    <t>Standart / Yönetmelik</t>
  </si>
  <si>
    <t xml:space="preserve">ELEKTRİKSEL KONTROLLER </t>
  </si>
  <si>
    <t>SÖZLEŞME ONAYI</t>
  </si>
  <si>
    <t>Skreyper</t>
  </si>
  <si>
    <t>MEKANİK TESİSAT KONTROLLERİ</t>
  </si>
  <si>
    <t>BASINÇLI KAPLAR KONTROLLERİ</t>
  </si>
  <si>
    <t>KALDIRMA İLETME ARAÇLARI KONTROLLERİ</t>
  </si>
  <si>
    <t>MDHS 14/3                                                             Grav. metod ile toplam toz tayini</t>
  </si>
  <si>
    <t xml:space="preserve">TS EN ISO 9612                                                Çalışanın maruz kaldığı toplam gürültü miktarının personel üzerinde çalıştığı süre boyunca takılı kalan dozimetreler ile tespiti </t>
  </si>
  <si>
    <t>TEL/FAX</t>
  </si>
  <si>
    <t>TEKLİF TARİHİ</t>
  </si>
  <si>
    <t xml:space="preserve">El-Kol Titreşim Maruziyet Ölçümü </t>
  </si>
  <si>
    <t xml:space="preserve">Tüm Vücut Titreşim Maruziyet Ölçümü </t>
  </si>
  <si>
    <t>Elektrik Topraklama,Cihaz Gövde Topaklama Ölçümü</t>
  </si>
  <si>
    <t>TS ISO 2631-1 (TS EN 1032+A1 ile birlikte)        Mekanik Titreşim,Tüm vücudun titreşim maruz kalma durumunun değerlendirilmesi</t>
  </si>
  <si>
    <t>DİĞER KONTROLLER</t>
  </si>
  <si>
    <t>İş Makinesi</t>
  </si>
  <si>
    <t>Makine Tezgah</t>
  </si>
  <si>
    <t>Yangın Tüpü</t>
  </si>
  <si>
    <t>Endüstriyel Kapı</t>
  </si>
  <si>
    <t xml:space="preserve">COHSR-928-1-IPG-039                                                  İş Yerindeki Aydınlatma/Işık Şiddeti Düzeyinin Ölçümü </t>
  </si>
  <si>
    <t>TS EN ISO 5349-1,TS EN ISO 5349-2          Mekanik Titreşim-Kişilerin Maruz Kaldığı Elle İletilen Titreşimin Ölçülmesi Ve Değerlendirilmesi</t>
  </si>
  <si>
    <t xml:space="preserve">Sayın Firma Yetkilisi;
Tarafımızdan talep etmiş olduğunuz ölçümlere ait fiyat teklifimiz ve ölçümlerde kullanılacak metotlar ekte bilginize sunulmuştur.
Firmamıza göstermiş olduğunuz ilgi ve güvene teşekkür eder, teklifimizin uygun bulunacağını umar, iyi çalışmalar dileriz.                                                                                                                                                                                                                                                                                                                                                                                                                                                        Akredite kapsamında yapılan ölçümler, İŞ HİJYENİ(ORTAM ÖLÇÜMÜ) parametreleri ile yapılan ölçümlerdir.   
                                                                                                                                                         Saygılarımızla
                                                                                                                                                    ABDULVAHAP ÖNDER                    
                                                                                                                                                      ŞİRKET MÜDÜRÜ                                       </t>
  </si>
  <si>
    <t xml:space="preserve">TS EN ISO 7730,TS EN ISO 7243                      Çalışan ortamında sıcaklık ve nem miktarlarının tespiti, kritik noktalarda PMV- PPD indislerinin tespiti,Sıcak Ortamlarda WBGT — Isı Baskı İndeksinin (Yaş-Hazne Küre Sıcaklığı) Belirlenmesi </t>
  </si>
  <si>
    <t>-</t>
  </si>
  <si>
    <t xml:space="preserve">İç Ortam Aydınlatma Ölçümü </t>
  </si>
  <si>
    <t>Konveyör Bant</t>
  </si>
  <si>
    <t>Otomatik Yangın Söndürme Sist.</t>
  </si>
  <si>
    <t>Yangın Algılama ve Alarm Sistemi</t>
  </si>
  <si>
    <t>Manlift</t>
  </si>
  <si>
    <t>Endüstriyel Raf</t>
  </si>
  <si>
    <t>Chiller Tankı</t>
  </si>
  <si>
    <t>TOPLAM</t>
  </si>
  <si>
    <t>25-135</t>
  </si>
  <si>
    <t>TS ISO 1996-2                                                                   Ses Basınç Seviyelerinin Tayini</t>
  </si>
  <si>
    <t>Elektrik İç Tesisat Kontrolü</t>
  </si>
  <si>
    <t>Paratoner Kontrolü</t>
  </si>
  <si>
    <t>Jeneratör  Kontrolü</t>
  </si>
  <si>
    <t>Basınçlı Kap</t>
  </si>
  <si>
    <t>PEMA KOLEJİ</t>
  </si>
  <si>
    <t>KONYA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</si>
</sst>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TL&quot;"/>
    <numFmt numFmtId="165" formatCode="#,##0.00\ &quot;TL + KDV&quot;"/>
  </numFmts>
  <fonts count="11">
    <font>
      <sz val="12"/>
      <color theme="1"/>
      <name val="Calibri"/>
      <family val="2"/>
      <scheme val="minor"/>
    </font>
    <font>
      <b/>
      <sz val="12"/>
      <color theme="1"/>
      <name val="Calibri"/>
      <family val="2"/>
      <scheme val="minor"/>
    </font>
    <font>
      <b/>
      <sz val="11"/>
      <color theme="1"/>
      <name val="Calibri"/>
      <family val="2"/>
      <charset val="162"/>
      <scheme val="minor"/>
    </font>
    <font>
      <sz val="10"/>
      <color rgb="FF000000"/>
      <name val="Calibri"/>
      <family val="2"/>
    </font>
    <font>
      <sz val="9"/>
      <color rgb="FF000000"/>
      <name val="Calibri"/>
      <family val="2"/>
    </font>
    <font>
      <sz val="8"/>
      <color rgb="FF000000"/>
      <name val="Calibri"/>
      <family val="2"/>
    </font>
    <font>
      <b/>
      <sz val="11"/>
      <color theme="1"/>
      <name val="Calibri (Gövde)"/>
    </font>
    <font>
      <u/>
      <sz val="11"/>
      <color theme="1"/>
      <name val="Calibri"/>
      <family val="2"/>
      <charset val="162"/>
      <scheme val="minor"/>
    </font>
    <font>
      <sz val="8"/>
      <name val="Calibri"/>
      <family val="2"/>
      <scheme val="minor"/>
    </font>
    <font>
      <b/>
      <sz val="12"/>
      <color theme="4" tint="-0.499984740745262"/>
      <name val="Calibri"/>
      <family val="2"/>
      <scheme val="minor"/>
    </font>
    <font>
      <u/>
      <sz val="12"/>
      <color theme="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2"/>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0" fillId="0" borderId="0" applyNumberFormat="0" applyFill="0" applyBorder="0" applyAlignment="0" applyProtection="0"/>
  </cellStyleXfs>
  <cellXfs count="73">
    <xf numFmtId="0" fontId="0" fillId="0" borderId="0" xfId="0"/>
    <xf numFmtId="0" fontId="0" fillId="2" borderId="0" xfId="0" applyFont="1" applyFill="1" applyBorder="1" applyAlignment="1">
      <alignment horizontal="center" vertical="center" wrapText="1"/>
    </xf>
    <xf numFmtId="0" fontId="0" fillId="2" borderId="0" xfId="0" applyFont="1" applyFill="1" applyBorder="1" applyAlignment="1">
      <alignment vertical="top" wrapText="1"/>
    </xf>
    <xf numFmtId="0" fontId="0" fillId="2" borderId="0" xfId="0" applyFont="1" applyFill="1" applyBorder="1" applyAlignment="1">
      <alignment vertical="center" wrapText="1"/>
    </xf>
    <xf numFmtId="0" fontId="3" fillId="0" borderId="1" xfId="0" applyFont="1" applyBorder="1" applyAlignment="1">
      <alignment vertical="center" wrapText="1"/>
    </xf>
    <xf numFmtId="164" fontId="0" fillId="0" borderId="1" xfId="0" applyNumberFormat="1" applyFont="1" applyBorder="1" applyAlignment="1">
      <alignment vertical="center" wrapText="1"/>
    </xf>
    <xf numFmtId="0" fontId="3" fillId="0" borderId="0" xfId="0" applyFont="1" applyBorder="1" applyAlignment="1">
      <alignment vertical="center" wrapText="1"/>
    </xf>
    <xf numFmtId="164" fontId="0" fillId="0" borderId="0" xfId="0" applyNumberFormat="1" applyFont="1" applyBorder="1" applyAlignment="1">
      <alignment vertical="center" wrapText="1"/>
    </xf>
    <xf numFmtId="0" fontId="4" fillId="0" borderId="0" xfId="0" applyFont="1" applyBorder="1" applyAlignment="1">
      <alignment horizontal="center" vertical="center" wrapText="1"/>
    </xf>
    <xf numFmtId="0" fontId="2" fillId="0" borderId="0" xfId="0" applyFont="1" applyAlignment="1">
      <alignment horizontal="center" vertical="center" wrapText="1"/>
    </xf>
    <xf numFmtId="0" fontId="0" fillId="0" borderId="0" xfId="0" applyFont="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wrapText="1"/>
    </xf>
    <xf numFmtId="0" fontId="2" fillId="2" borderId="0" xfId="0" applyFont="1" applyFill="1" applyBorder="1" applyAlignment="1">
      <alignment horizontal="center" vertical="center" wrapText="1"/>
    </xf>
    <xf numFmtId="0" fontId="0"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0" fillId="0" borderId="0" xfId="0" applyFont="1" applyBorder="1" applyAlignment="1">
      <alignment vertical="center" wrapText="1"/>
    </xf>
    <xf numFmtId="0" fontId="0" fillId="0" borderId="0" xfId="0" applyFont="1" applyBorder="1" applyAlignment="1">
      <alignment horizontal="center" vertical="center" wrapText="1"/>
    </xf>
    <xf numFmtId="0" fontId="0" fillId="0" borderId="0" xfId="0" applyAlignment="1">
      <alignment horizontal="center"/>
    </xf>
    <xf numFmtId="0" fontId="3" fillId="0" borderId="0" xfId="0" applyFont="1" applyBorder="1" applyAlignment="1">
      <alignment horizontal="center" vertical="center" wrapText="1"/>
    </xf>
    <xf numFmtId="0" fontId="2" fillId="0" borderId="0" xfId="0" applyFont="1" applyBorder="1" applyAlignment="1">
      <alignment horizontal="center" vertical="center" wrapText="1"/>
    </xf>
    <xf numFmtId="0" fontId="0" fillId="0" borderId="0" xfId="0" applyFont="1" applyBorder="1" applyAlignment="1">
      <alignment horizontal="left"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horizontal="left" vertical="center" wrapText="1"/>
    </xf>
    <xf numFmtId="0" fontId="3" fillId="0" borderId="0" xfId="0" applyFont="1" applyBorder="1" applyAlignment="1">
      <alignment horizontal="left" vertical="center" wrapText="1"/>
    </xf>
    <xf numFmtId="0" fontId="5" fillId="0" borderId="0" xfId="0" applyFont="1" applyBorder="1" applyAlignment="1">
      <alignment horizontal="center" vertical="center" wrapText="1"/>
    </xf>
    <xf numFmtId="0" fontId="0" fillId="2" borderId="1" xfId="0" applyFont="1" applyFill="1" applyBorder="1" applyAlignment="1">
      <alignment horizontal="center" vertical="center" wrapText="1"/>
    </xf>
    <xf numFmtId="0" fontId="0" fillId="2" borderId="0"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2" fillId="2" borderId="0" xfId="0" applyFont="1" applyFill="1" applyBorder="1" applyAlignment="1">
      <alignment horizontal="center" vertical="center" wrapText="1"/>
    </xf>
    <xf numFmtId="165" fontId="1" fillId="0" borderId="1" xfId="0" applyNumberFormat="1" applyFont="1" applyBorder="1" applyAlignment="1">
      <alignment vertical="center" wrapText="1"/>
    </xf>
    <xf numFmtId="0" fontId="0"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164" fontId="0" fillId="0" borderId="1" xfId="0" applyNumberFormat="1" applyBorder="1" applyAlignment="1">
      <alignment vertical="center" wrapText="1"/>
    </xf>
    <xf numFmtId="14" fontId="0" fillId="2" borderId="5" xfId="0" applyNumberFormat="1" applyFont="1" applyFill="1" applyBorder="1" applyAlignment="1">
      <alignment horizontal="center" vertical="center" wrapText="1"/>
    </xf>
    <xf numFmtId="14" fontId="0" fillId="2" borderId="9"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wrapText="1"/>
    </xf>
    <xf numFmtId="14" fontId="0" fillId="2" borderId="7" xfId="0" applyNumberFormat="1" applyFont="1" applyFill="1" applyBorder="1" applyAlignment="1">
      <alignment horizontal="center" vertical="center" wrapText="1"/>
    </xf>
    <xf numFmtId="14" fontId="0" fillId="2" borderId="10" xfId="0" applyNumberFormat="1" applyFont="1" applyFill="1" applyBorder="1" applyAlignment="1">
      <alignment horizontal="center" vertical="center" wrapText="1"/>
    </xf>
    <xf numFmtId="14" fontId="0" fillId="2" borderId="8" xfId="0" applyNumberFormat="1" applyFont="1" applyFill="1" applyBorder="1" applyAlignment="1">
      <alignment horizontal="center" vertical="center" wrapText="1"/>
    </xf>
    <xf numFmtId="0" fontId="0" fillId="2" borderId="5" xfId="0" applyFont="1" applyFill="1" applyBorder="1" applyAlignment="1">
      <alignment horizontal="center" vertical="center" wrapText="1"/>
    </xf>
    <xf numFmtId="0" fontId="0" fillId="2" borderId="9" xfId="0" applyFont="1" applyFill="1" applyBorder="1" applyAlignment="1">
      <alignment horizontal="center" vertical="center" wrapText="1"/>
    </xf>
    <xf numFmtId="0" fontId="0" fillId="2" borderId="6" xfId="0"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10" xfId="0" applyFont="1" applyFill="1" applyBorder="1" applyAlignment="1">
      <alignment horizontal="center" vertical="center" wrapText="1"/>
    </xf>
    <xf numFmtId="0" fontId="0" fillId="2" borderId="8" xfId="0" applyFont="1" applyFill="1" applyBorder="1" applyAlignment="1">
      <alignment horizontal="center" vertical="center" wrapText="1"/>
    </xf>
    <xf numFmtId="0" fontId="10" fillId="2" borderId="5" xfId="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3"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left" vertical="center" wrapText="1"/>
    </xf>
    <xf numFmtId="0" fontId="3" fillId="0" borderId="11" xfId="0" applyFont="1" applyBorder="1" applyAlignment="1">
      <alignment horizontal="left" vertical="center" wrapText="1"/>
    </xf>
    <xf numFmtId="0" fontId="0"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0" fillId="2" borderId="0" xfId="0" applyFont="1" applyFill="1" applyBorder="1" applyAlignment="1">
      <alignment horizontal="left" vertical="center" wrapText="1"/>
    </xf>
    <xf numFmtId="0" fontId="0" fillId="2" borderId="0" xfId="0" applyFont="1" applyFill="1" applyBorder="1" applyAlignment="1">
      <alignment horizontal="left" vertical="top" wrapText="1"/>
    </xf>
    <xf numFmtId="0" fontId="1" fillId="3" borderId="3"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2" borderId="0" xfId="0" applyFont="1" applyFill="1" applyBorder="1" applyAlignment="1">
      <alignment horizontal="center" vertical="top" wrapText="1"/>
    </xf>
    <xf numFmtId="0" fontId="9" fillId="0" borderId="0"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2">
    <cellStyle name="Köprü"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tiff"/><Relationship Id="rId2" Type="http://schemas.openxmlformats.org/officeDocument/2006/relationships/image" Target="../media/image2.jpeg"/><Relationship Id="rId1" Type="http://schemas.openxmlformats.org/officeDocument/2006/relationships/image" Target="../media/image1.JP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556282</xdr:colOff>
      <xdr:row>25</xdr:row>
      <xdr:rowOff>172474</xdr:rowOff>
    </xdr:from>
    <xdr:to>
      <xdr:col>6</xdr:col>
      <xdr:colOff>587769</xdr:colOff>
      <xdr:row>34</xdr:row>
      <xdr:rowOff>104959</xdr:rowOff>
    </xdr:to>
    <xdr:pic>
      <xdr:nvPicPr>
        <xdr:cNvPr id="4" name="Resim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alphaModFix amt="28000"/>
        </a:blip>
        <a:stretch>
          <a:fillRect/>
        </a:stretch>
      </xdr:blipFill>
      <xdr:spPr>
        <a:xfrm>
          <a:off x="934133" y="4748672"/>
          <a:ext cx="6224049" cy="1716782"/>
        </a:xfrm>
        <a:prstGeom prst="rect">
          <a:avLst/>
        </a:prstGeom>
      </xdr:spPr>
    </xdr:pic>
    <xdr:clientData/>
  </xdr:twoCellAnchor>
  <xdr:twoCellAnchor editAs="oneCell">
    <xdr:from>
      <xdr:col>0</xdr:col>
      <xdr:colOff>308708</xdr:colOff>
      <xdr:row>0</xdr:row>
      <xdr:rowOff>72293</xdr:rowOff>
    </xdr:from>
    <xdr:to>
      <xdr:col>2</xdr:col>
      <xdr:colOff>977059</xdr:colOff>
      <xdr:row>3</xdr:row>
      <xdr:rowOff>182217</xdr:rowOff>
    </xdr:to>
    <xdr:pic>
      <xdr:nvPicPr>
        <xdr:cNvPr id="2" name="Resi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8708" y="72293"/>
          <a:ext cx="2490525" cy="7062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1113880</xdr:colOff>
      <xdr:row>4</xdr:row>
      <xdr:rowOff>34603</xdr:rowOff>
    </xdr:from>
    <xdr:to>
      <xdr:col>5</xdr:col>
      <xdr:colOff>245649</xdr:colOff>
      <xdr:row>6</xdr:row>
      <xdr:rowOff>5297</xdr:rowOff>
    </xdr:to>
    <xdr:sp macro="" textlink="">
      <xdr:nvSpPr>
        <xdr:cNvPr id="3" name="Metin kutusu 2">
          <a:extLst>
            <a:ext uri="{FF2B5EF4-FFF2-40B4-BE49-F238E27FC236}">
              <a16:creationId xmlns:a16="http://schemas.microsoft.com/office/drawing/2014/main" id="{00000000-0008-0000-0000-000003000000}"/>
            </a:ext>
          </a:extLst>
        </xdr:cNvPr>
        <xdr:cNvSpPr txBox="1"/>
      </xdr:nvSpPr>
      <xdr:spPr>
        <a:xfrm>
          <a:off x="1498977" y="853958"/>
          <a:ext cx="4252737" cy="3803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800" b="1" i="1">
              <a:solidFill>
                <a:schemeClr val="dk1"/>
              </a:solidFill>
              <a:effectLst/>
              <a:latin typeface="+mn-lt"/>
              <a:ea typeface="+mn-ea"/>
              <a:cs typeface="+mn-cs"/>
            </a:rPr>
            <a:t>TEST VE ÖLÇÜM TALEP TEKLİF FORMU</a:t>
          </a:r>
          <a:endParaRPr lang="tr-TR" sz="1800">
            <a:solidFill>
              <a:schemeClr val="dk1"/>
            </a:solidFill>
            <a:effectLst/>
            <a:latin typeface="+mn-lt"/>
            <a:ea typeface="+mn-ea"/>
            <a:cs typeface="+mn-cs"/>
          </a:endParaRPr>
        </a:p>
      </xdr:txBody>
    </xdr:sp>
    <xdr:clientData/>
  </xdr:twoCellAnchor>
  <xdr:twoCellAnchor>
    <xdr:from>
      <xdr:col>2</xdr:col>
      <xdr:colOff>1018760</xdr:colOff>
      <xdr:row>0</xdr:row>
      <xdr:rowOff>185616</xdr:rowOff>
    </xdr:from>
    <xdr:to>
      <xdr:col>6</xdr:col>
      <xdr:colOff>713152</xdr:colOff>
      <xdr:row>3</xdr:row>
      <xdr:rowOff>87923</xdr:rowOff>
    </xdr:to>
    <xdr:sp macro="" textlink="">
      <xdr:nvSpPr>
        <xdr:cNvPr id="5" name="Metin kutusu 4">
          <a:extLst>
            <a:ext uri="{FF2B5EF4-FFF2-40B4-BE49-F238E27FC236}">
              <a16:creationId xmlns:a16="http://schemas.microsoft.com/office/drawing/2014/main" id="{00000000-0008-0000-0000-000005000000}"/>
            </a:ext>
          </a:extLst>
        </xdr:cNvPr>
        <xdr:cNvSpPr txBox="1"/>
      </xdr:nvSpPr>
      <xdr:spPr>
        <a:xfrm>
          <a:off x="2840934" y="185616"/>
          <a:ext cx="4473457" cy="4986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800" b="1" i="1">
              <a:solidFill>
                <a:schemeClr val="dk1"/>
              </a:solidFill>
              <a:effectLst/>
              <a:latin typeface="+mn-lt"/>
              <a:ea typeface="+mn-ea"/>
              <a:cs typeface="+mn-cs"/>
            </a:rPr>
            <a:t>ÖNDER MUAYENE TEST VE ÖLÇÜM LABORATUVARI MÜH. İNŞ.SAN. VE TİC. LTD. ŞTİ.                    </a:t>
          </a:r>
        </a:p>
        <a:p>
          <a:pPr algn="ctr"/>
          <a:r>
            <a:rPr lang="tr-TR" sz="800" b="1" i="1">
              <a:solidFill>
                <a:schemeClr val="dk1"/>
              </a:solidFill>
              <a:effectLst/>
              <a:latin typeface="+mn-lt"/>
              <a:ea typeface="+mn-ea"/>
              <a:cs typeface="+mn-cs"/>
            </a:rPr>
            <a:t>Fetih Mahallesi Aslanlı Kışla Caddesi No:144S/1 Karatay/KONYA</a:t>
          </a:r>
        </a:p>
        <a:p>
          <a:pPr algn="ctr"/>
          <a:r>
            <a:rPr lang="tr-TR" sz="800" b="1" i="1">
              <a:solidFill>
                <a:schemeClr val="dk1"/>
              </a:solidFill>
              <a:effectLst/>
              <a:latin typeface="+mn-lt"/>
              <a:ea typeface="+mn-ea"/>
              <a:cs typeface="+mn-cs"/>
            </a:rPr>
            <a:t>Tel-Fax:0332 30000 20     www.ondermuayene.com.tr</a:t>
          </a:r>
          <a:endParaRPr lang="tr-TR" sz="800">
            <a:solidFill>
              <a:schemeClr val="dk1"/>
            </a:solidFill>
            <a:effectLst/>
            <a:latin typeface="+mn-lt"/>
            <a:ea typeface="+mn-ea"/>
            <a:cs typeface="+mn-cs"/>
          </a:endParaRPr>
        </a:p>
      </xdr:txBody>
    </xdr:sp>
    <xdr:clientData/>
  </xdr:twoCellAnchor>
  <xdr:twoCellAnchor editAs="oneCell">
    <xdr:from>
      <xdr:col>0</xdr:col>
      <xdr:colOff>84772</xdr:colOff>
      <xdr:row>131</xdr:row>
      <xdr:rowOff>59027</xdr:rowOff>
    </xdr:from>
    <xdr:to>
      <xdr:col>2</xdr:col>
      <xdr:colOff>117011</xdr:colOff>
      <xdr:row>133</xdr:row>
      <xdr:rowOff>188072</xdr:rowOff>
    </xdr:to>
    <xdr:pic>
      <xdr:nvPicPr>
        <xdr:cNvPr id="6" name="Resim 1">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772" y="11750965"/>
          <a:ext cx="1853895" cy="53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278301</xdr:colOff>
      <xdr:row>55</xdr:row>
      <xdr:rowOff>85743</xdr:rowOff>
    </xdr:from>
    <xdr:to>
      <xdr:col>2</xdr:col>
      <xdr:colOff>310540</xdr:colOff>
      <xdr:row>58</xdr:row>
      <xdr:rowOff>8565</xdr:rowOff>
    </xdr:to>
    <xdr:pic>
      <xdr:nvPicPr>
        <xdr:cNvPr id="9" name="Resim 1">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78301" y="23879875"/>
          <a:ext cx="1848024" cy="521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409691</xdr:colOff>
      <xdr:row>48</xdr:row>
      <xdr:rowOff>95671</xdr:rowOff>
    </xdr:from>
    <xdr:to>
      <xdr:col>6</xdr:col>
      <xdr:colOff>305040</xdr:colOff>
      <xdr:row>51</xdr:row>
      <xdr:rowOff>124287</xdr:rowOff>
    </xdr:to>
    <xdr:pic>
      <xdr:nvPicPr>
        <xdr:cNvPr id="13" name="Resim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5"/>
        <a:stretch>
          <a:fillRect/>
        </a:stretch>
      </xdr:blipFill>
      <xdr:spPr>
        <a:xfrm>
          <a:off x="5188756" y="9612388"/>
          <a:ext cx="1717523" cy="624964"/>
        </a:xfrm>
        <a:prstGeom prst="rect">
          <a:avLst/>
        </a:prstGeom>
      </xdr:spPr>
    </xdr:pic>
    <xdr:clientData/>
  </xdr:twoCellAnchor>
  <xdr:twoCellAnchor editAs="oneCell">
    <xdr:from>
      <xdr:col>0</xdr:col>
      <xdr:colOff>73471</xdr:colOff>
      <xdr:row>89</xdr:row>
      <xdr:rowOff>157439</xdr:rowOff>
    </xdr:from>
    <xdr:to>
      <xdr:col>2</xdr:col>
      <xdr:colOff>105710</xdr:colOff>
      <xdr:row>89</xdr:row>
      <xdr:rowOff>678526</xdr:rowOff>
    </xdr:to>
    <xdr:pic>
      <xdr:nvPicPr>
        <xdr:cNvPr id="16" name="Resim 1">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3471" y="33765208"/>
          <a:ext cx="1848024" cy="521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440826</xdr:colOff>
      <xdr:row>131</xdr:row>
      <xdr:rowOff>20992</xdr:rowOff>
    </xdr:from>
    <xdr:to>
      <xdr:col>6</xdr:col>
      <xdr:colOff>743673</xdr:colOff>
      <xdr:row>133</xdr:row>
      <xdr:rowOff>122720</xdr:rowOff>
    </xdr:to>
    <xdr:sp macro="" textlink="">
      <xdr:nvSpPr>
        <xdr:cNvPr id="17" name="Metin kutusu 16">
          <a:extLst>
            <a:ext uri="{FF2B5EF4-FFF2-40B4-BE49-F238E27FC236}">
              <a16:creationId xmlns:a16="http://schemas.microsoft.com/office/drawing/2014/main" id="{00000000-0008-0000-0000-000011000000}"/>
            </a:ext>
          </a:extLst>
        </xdr:cNvPr>
        <xdr:cNvSpPr txBox="1"/>
      </xdr:nvSpPr>
      <xdr:spPr>
        <a:xfrm>
          <a:off x="2256611" y="11356529"/>
          <a:ext cx="5057475" cy="5005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800" b="1" i="1">
              <a:solidFill>
                <a:schemeClr val="dk1"/>
              </a:solidFill>
              <a:effectLst/>
              <a:latin typeface="+mn-lt"/>
              <a:ea typeface="+mn-ea"/>
              <a:cs typeface="+mn-cs"/>
            </a:rPr>
            <a:t>ÖNDER MUAYENE TEST VE ÖLÇÜM LABORATUVARI MÜH. İNŞ.SAN. VE TİC. LTD. ŞTİ.                    </a:t>
          </a:r>
        </a:p>
        <a:p>
          <a:pPr algn="ctr"/>
          <a:r>
            <a:rPr lang="tr-TR" sz="800" b="1" i="1">
              <a:solidFill>
                <a:schemeClr val="dk1"/>
              </a:solidFill>
              <a:effectLst/>
              <a:latin typeface="+mn-lt"/>
              <a:ea typeface="+mn-ea"/>
              <a:cs typeface="+mn-cs"/>
            </a:rPr>
            <a:t>Fetih Mahallesi Aslanlı Kışla Caddesi No:144S/1 Karatay/KONYA</a:t>
          </a:r>
        </a:p>
        <a:p>
          <a:pPr algn="ctr"/>
          <a:r>
            <a:rPr lang="tr-TR" sz="800" b="1" i="1">
              <a:solidFill>
                <a:schemeClr val="dk1"/>
              </a:solidFill>
              <a:effectLst/>
              <a:latin typeface="+mn-lt"/>
              <a:ea typeface="+mn-ea"/>
              <a:cs typeface="+mn-cs"/>
            </a:rPr>
            <a:t>Tel-Fax:0332 30000 20     www.ondermuayene.com.tr</a:t>
          </a:r>
          <a:endParaRPr lang="tr-TR" sz="800">
            <a:solidFill>
              <a:schemeClr val="dk1"/>
            </a:solidFill>
            <a:effectLst/>
            <a:latin typeface="+mn-lt"/>
            <a:ea typeface="+mn-ea"/>
            <a:cs typeface="+mn-cs"/>
          </a:endParaRPr>
        </a:p>
      </xdr:txBody>
    </xdr:sp>
    <xdr:clientData/>
  </xdr:twoCellAnchor>
  <xdr:twoCellAnchor>
    <xdr:from>
      <xdr:col>2</xdr:col>
      <xdr:colOff>377851</xdr:colOff>
      <xdr:row>55</xdr:row>
      <xdr:rowOff>83967</xdr:rowOff>
    </xdr:from>
    <xdr:to>
      <xdr:col>6</xdr:col>
      <xdr:colOff>680698</xdr:colOff>
      <xdr:row>57</xdr:row>
      <xdr:rowOff>185695</xdr:rowOff>
    </xdr:to>
    <xdr:sp macro="" textlink="">
      <xdr:nvSpPr>
        <xdr:cNvPr id="18" name="Metin kutusu 17">
          <a:extLst>
            <a:ext uri="{FF2B5EF4-FFF2-40B4-BE49-F238E27FC236}">
              <a16:creationId xmlns:a16="http://schemas.microsoft.com/office/drawing/2014/main" id="{00000000-0008-0000-0000-000012000000}"/>
            </a:ext>
          </a:extLst>
        </xdr:cNvPr>
        <xdr:cNvSpPr txBox="1"/>
      </xdr:nvSpPr>
      <xdr:spPr>
        <a:xfrm>
          <a:off x="2193636" y="22587107"/>
          <a:ext cx="5057475" cy="5005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800" b="1" i="1">
              <a:solidFill>
                <a:schemeClr val="dk1"/>
              </a:solidFill>
              <a:effectLst/>
              <a:latin typeface="+mn-lt"/>
              <a:ea typeface="+mn-ea"/>
              <a:cs typeface="+mn-cs"/>
            </a:rPr>
            <a:t>ÖNDER MUAYENE TEST VE ÖLÇÜM LABORATUVARI MÜH. İNŞ.SAN. VE TİC. LTD. ŞTİ.                    </a:t>
          </a:r>
        </a:p>
        <a:p>
          <a:pPr algn="ctr"/>
          <a:r>
            <a:rPr lang="tr-TR" sz="800" b="1" i="1">
              <a:solidFill>
                <a:schemeClr val="dk1"/>
              </a:solidFill>
              <a:effectLst/>
              <a:latin typeface="+mn-lt"/>
              <a:ea typeface="+mn-ea"/>
              <a:cs typeface="+mn-cs"/>
            </a:rPr>
            <a:t>Fetih Mahallesi Aslanlı Kışla Caddesi No:144S/1 Karatay/KONYA</a:t>
          </a:r>
        </a:p>
        <a:p>
          <a:pPr algn="ctr"/>
          <a:r>
            <a:rPr lang="tr-TR" sz="800" b="1" i="1">
              <a:solidFill>
                <a:schemeClr val="dk1"/>
              </a:solidFill>
              <a:effectLst/>
              <a:latin typeface="+mn-lt"/>
              <a:ea typeface="+mn-ea"/>
              <a:cs typeface="+mn-cs"/>
            </a:rPr>
            <a:t>Tel-Fax:0332 30000 20     www.ondermuayene.com.tr</a:t>
          </a:r>
          <a:endParaRPr lang="tr-TR" sz="800">
            <a:solidFill>
              <a:schemeClr val="dk1"/>
            </a:solidFill>
            <a:effectLst/>
            <a:latin typeface="+mn-lt"/>
            <a:ea typeface="+mn-ea"/>
            <a:cs typeface="+mn-cs"/>
          </a:endParaRPr>
        </a:p>
      </xdr:txBody>
    </xdr:sp>
    <xdr:clientData/>
  </xdr:twoCellAnchor>
  <xdr:twoCellAnchor>
    <xdr:from>
      <xdr:col>2</xdr:col>
      <xdr:colOff>503801</xdr:colOff>
      <xdr:row>89</xdr:row>
      <xdr:rowOff>125950</xdr:rowOff>
    </xdr:from>
    <xdr:to>
      <xdr:col>6</xdr:col>
      <xdr:colOff>806648</xdr:colOff>
      <xdr:row>90</xdr:row>
      <xdr:rowOff>251901</xdr:rowOff>
    </xdr:to>
    <xdr:sp macro="" textlink="">
      <xdr:nvSpPr>
        <xdr:cNvPr id="19" name="Metin kutusu 18">
          <a:extLst>
            <a:ext uri="{FF2B5EF4-FFF2-40B4-BE49-F238E27FC236}">
              <a16:creationId xmlns:a16="http://schemas.microsoft.com/office/drawing/2014/main" id="{00000000-0008-0000-0000-000013000000}"/>
            </a:ext>
          </a:extLst>
        </xdr:cNvPr>
        <xdr:cNvSpPr txBox="1"/>
      </xdr:nvSpPr>
      <xdr:spPr>
        <a:xfrm>
          <a:off x="2319586" y="33733719"/>
          <a:ext cx="5057475" cy="503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800" b="1" i="1">
              <a:solidFill>
                <a:schemeClr val="dk1"/>
              </a:solidFill>
              <a:effectLst/>
              <a:latin typeface="+mn-lt"/>
              <a:ea typeface="+mn-ea"/>
              <a:cs typeface="+mn-cs"/>
            </a:rPr>
            <a:t>ÖNDER MUAYENE TEST VE ÖLÇÜM LABORATUVARI MÜH. İNŞ.SAN. VE TİC. LTD. ŞTİ.                    </a:t>
          </a:r>
        </a:p>
        <a:p>
          <a:pPr algn="ctr"/>
          <a:r>
            <a:rPr lang="tr-TR" sz="800" b="1" i="1">
              <a:solidFill>
                <a:schemeClr val="dk1"/>
              </a:solidFill>
              <a:effectLst/>
              <a:latin typeface="+mn-lt"/>
              <a:ea typeface="+mn-ea"/>
              <a:cs typeface="+mn-cs"/>
            </a:rPr>
            <a:t>Fetih Mahallesi Aslanlı Kışla Caddesi No:144S/1 Karatay/KONYA</a:t>
          </a:r>
        </a:p>
        <a:p>
          <a:pPr algn="ctr"/>
          <a:r>
            <a:rPr lang="tr-TR" sz="800" b="1" i="1">
              <a:solidFill>
                <a:schemeClr val="dk1"/>
              </a:solidFill>
              <a:effectLst/>
              <a:latin typeface="+mn-lt"/>
              <a:ea typeface="+mn-ea"/>
              <a:cs typeface="+mn-cs"/>
            </a:rPr>
            <a:t>Tel-Fax:0332 30000 20     www.ondermuayene.com.tr</a:t>
          </a:r>
          <a:endParaRPr lang="tr-TR" sz="800">
            <a:solidFill>
              <a:schemeClr val="dk1"/>
            </a:solidFill>
            <a:effectLst/>
            <a:latin typeface="+mn-lt"/>
            <a:ea typeface="+mn-ea"/>
            <a:cs typeface="+mn-cs"/>
          </a:endParaRPr>
        </a:p>
      </xdr:txBody>
    </xdr:sp>
    <xdr:clientData/>
  </xdr:twoCellAnchor>
  <xdr:twoCellAnchor>
    <xdr:from>
      <xdr:col>0</xdr:col>
      <xdr:colOff>283388</xdr:colOff>
      <xdr:row>133</xdr:row>
      <xdr:rowOff>146942</xdr:rowOff>
    </xdr:from>
    <xdr:to>
      <xdr:col>6</xdr:col>
      <xdr:colOff>869674</xdr:colOff>
      <xdr:row>179</xdr:row>
      <xdr:rowOff>149087</xdr:rowOff>
    </xdr:to>
    <xdr:sp macro="" textlink="">
      <xdr:nvSpPr>
        <xdr:cNvPr id="14" name="Metin kutusu 13">
          <a:extLst>
            <a:ext uri="{FF2B5EF4-FFF2-40B4-BE49-F238E27FC236}">
              <a16:creationId xmlns:a16="http://schemas.microsoft.com/office/drawing/2014/main" id="{00000000-0008-0000-0000-00000E000000}"/>
            </a:ext>
          </a:extLst>
        </xdr:cNvPr>
        <xdr:cNvSpPr txBox="1"/>
      </xdr:nvSpPr>
      <xdr:spPr>
        <a:xfrm>
          <a:off x="283388" y="34685420"/>
          <a:ext cx="7187525" cy="91461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r-TR" sz="1100" b="1">
              <a:solidFill>
                <a:schemeClr val="accent1">
                  <a:lumMod val="50000"/>
                </a:schemeClr>
              </a:solidFill>
              <a:effectLst/>
              <a:latin typeface="+mn-lt"/>
              <a:ea typeface="+mn-ea"/>
              <a:cs typeface="+mn-cs"/>
            </a:rPr>
            <a:t>GENEL VE TİCARİ ŞARTLAR</a:t>
          </a:r>
          <a:endParaRPr lang="tr-TR" sz="1100">
            <a:solidFill>
              <a:schemeClr val="accent1">
                <a:lumMod val="50000"/>
              </a:schemeClr>
            </a:solidFill>
            <a:effectLst/>
            <a:latin typeface="+mn-lt"/>
            <a:ea typeface="+mn-ea"/>
            <a:cs typeface="+mn-cs"/>
          </a:endParaRPr>
        </a:p>
        <a:p>
          <a:pPr lvl="0"/>
          <a:r>
            <a:rPr lang="tr-TR" sz="900" b="1">
              <a:solidFill>
                <a:schemeClr val="dk1"/>
              </a:solidFill>
              <a:effectLst/>
              <a:latin typeface="+mn-lt"/>
              <a:ea typeface="+mn-ea"/>
              <a:cs typeface="+mn-cs"/>
            </a:rPr>
            <a:t>1)   </a:t>
          </a:r>
          <a:r>
            <a:rPr lang="tr-TR" sz="900">
              <a:solidFill>
                <a:schemeClr val="dk1"/>
              </a:solidFill>
              <a:effectLst/>
              <a:latin typeface="+mn-lt"/>
              <a:ea typeface="+mn-ea"/>
              <a:cs typeface="+mn-cs"/>
            </a:rPr>
            <a:t>Ölçüm / Numune alma işleminin gerçekleştirileceği alan ile ilgili, çalışma alanının iş sağlığı ve güvenliği kurallarına uygun olarak hazırlanması, numune alınacak bacanın bünyesinde numune alma deliğinin açılmasından ve numune alma noktasına yetişmek için gerekli olan iş ekipmanının standartlara ve mevzuata uygun olması tarafınızca karşılanacaktır. Firmanız bünyesinde ölçüm / numune alma işlemi için kişisel iş güvenliği malzemeleri laboratuvarımız sorumluluğundadır.</a:t>
          </a:r>
        </a:p>
        <a:p>
          <a:pPr lvl="0"/>
          <a:endParaRPr lang="tr-TR" sz="900">
            <a:solidFill>
              <a:schemeClr val="dk1"/>
            </a:solidFill>
            <a:effectLst/>
            <a:latin typeface="+mn-lt"/>
            <a:ea typeface="+mn-ea"/>
            <a:cs typeface="+mn-cs"/>
          </a:endParaRPr>
        </a:p>
        <a:p>
          <a:pPr lvl="0"/>
          <a:r>
            <a:rPr lang="tr-TR" sz="900" b="1">
              <a:solidFill>
                <a:schemeClr val="dk1"/>
              </a:solidFill>
              <a:effectLst/>
              <a:latin typeface="+mn-lt"/>
              <a:ea typeface="+mn-ea"/>
              <a:cs typeface="+mn-cs"/>
            </a:rPr>
            <a:t>2)  </a:t>
          </a:r>
          <a:r>
            <a:rPr lang="tr-TR" sz="900">
              <a:solidFill>
                <a:schemeClr val="dk1"/>
              </a:solidFill>
              <a:effectLst/>
              <a:latin typeface="+mn-lt"/>
              <a:ea typeface="+mn-ea"/>
              <a:cs typeface="+mn-cs"/>
            </a:rPr>
            <a:t>Ölçüm / Numune Alma noktasının ve/veya platformun hazır olmaması nedeniyle ölçüm / numune alma işleminin gerçekleştirilememesi halinde sorumluluk tarafınıza ait olacaktır.</a:t>
          </a:r>
        </a:p>
        <a:p>
          <a:pPr lvl="0"/>
          <a:endParaRPr lang="tr-TR" sz="900">
            <a:solidFill>
              <a:schemeClr val="dk1"/>
            </a:solidFill>
            <a:effectLst/>
            <a:latin typeface="+mn-lt"/>
            <a:ea typeface="+mn-ea"/>
            <a:cs typeface="+mn-cs"/>
          </a:endParaRPr>
        </a:p>
        <a:p>
          <a:pPr lvl="0"/>
          <a:r>
            <a:rPr lang="tr-TR" sz="900" b="1">
              <a:solidFill>
                <a:schemeClr val="dk1"/>
              </a:solidFill>
              <a:effectLst/>
              <a:latin typeface="+mn-lt"/>
              <a:ea typeface="+mn-ea"/>
              <a:cs typeface="+mn-cs"/>
            </a:rPr>
            <a:t>3)  </a:t>
          </a:r>
          <a:r>
            <a:rPr lang="tr-TR" sz="900">
              <a:solidFill>
                <a:schemeClr val="dk1"/>
              </a:solidFill>
              <a:effectLst/>
              <a:latin typeface="+mn-lt"/>
              <a:ea typeface="+mn-ea"/>
              <a:cs typeface="+mn-cs"/>
            </a:rPr>
            <a:t>Teklif onayı; Teklifin her sayfası incelenerek “sözleşme onayı” bölümü müşteri tarafından kaşe-imza ile onaylanarak fatura bilgileri eksiksiz şekilde doldurulmalıdır. Onaylı teklifin tarafımıza ulaşması itibari ile planlama ve/veya ölçüm/numune alma sürecine başlanacaktır. Onay aşamasından sonra ölçüm/numune alma tarihi ile ilgili müşteri tarafından istenen bir tarih var ise önceden tarafımıza bildirmesi gerekmektedir. Karşılıklı mutabık kalınan ölçüm/numune alma tarihlerinde herhangi bir değişiklik talebiniz olacak ise ölçüm/numune alma tarihinden iki hafta önce tarafımıza bildirim yapılması gerekmektedir.</a:t>
          </a:r>
        </a:p>
        <a:p>
          <a:pPr lvl="0"/>
          <a:endParaRPr lang="tr-TR" sz="900">
            <a:solidFill>
              <a:schemeClr val="dk1"/>
            </a:solidFill>
            <a:effectLst/>
            <a:latin typeface="+mn-lt"/>
            <a:ea typeface="+mn-ea"/>
            <a:cs typeface="+mn-cs"/>
          </a:endParaRPr>
        </a:p>
        <a:p>
          <a:pPr lvl="0"/>
          <a:r>
            <a:rPr lang="tr-TR" sz="900" b="1">
              <a:solidFill>
                <a:schemeClr val="dk1"/>
              </a:solidFill>
              <a:effectLst/>
              <a:latin typeface="+mn-lt"/>
              <a:ea typeface="+mn-ea"/>
              <a:cs typeface="+mn-cs"/>
            </a:rPr>
            <a:t>4)   </a:t>
          </a:r>
          <a:r>
            <a:rPr lang="tr-TR" sz="900">
              <a:solidFill>
                <a:schemeClr val="dk1"/>
              </a:solidFill>
              <a:effectLst/>
              <a:latin typeface="+mn-lt"/>
              <a:ea typeface="+mn-ea"/>
              <a:cs typeface="+mn-cs"/>
            </a:rPr>
            <a:t>Ücretin %50 si teklif onayı ile birlikte, kalanı ise raporların hazırlanıp tarafınıza bilgi verilmesini takiben ödenecektir. Ölçüm/numune alma / analiz işlemleri tarafınızca sonlandırıldığında teklif onayında alınan ücret iade edilmeyecektir.</a:t>
          </a:r>
        </a:p>
        <a:p>
          <a:pPr lvl="0"/>
          <a:endParaRPr lang="tr-TR" sz="900">
            <a:solidFill>
              <a:schemeClr val="dk1"/>
            </a:solidFill>
            <a:effectLst/>
            <a:latin typeface="+mn-lt"/>
            <a:ea typeface="+mn-ea"/>
            <a:cs typeface="+mn-cs"/>
          </a:endParaRPr>
        </a:p>
        <a:p>
          <a:pPr lvl="0"/>
          <a:r>
            <a:rPr lang="tr-TR" sz="900" b="1">
              <a:solidFill>
                <a:schemeClr val="dk1"/>
              </a:solidFill>
              <a:effectLst/>
              <a:latin typeface="+mn-lt"/>
              <a:ea typeface="+mn-ea"/>
              <a:cs typeface="+mn-cs"/>
            </a:rPr>
            <a:t>5)  </a:t>
          </a:r>
          <a:r>
            <a:rPr lang="tr-TR" sz="900">
              <a:solidFill>
                <a:schemeClr val="dk1"/>
              </a:solidFill>
              <a:effectLst/>
              <a:latin typeface="+mn-lt"/>
              <a:ea typeface="+mn-ea"/>
              <a:cs typeface="+mn-cs"/>
            </a:rPr>
            <a:t>Tarafınızca onayı iletilmiş hizmet teklifi dahilinde numune alımı gerçekleştirilmiş, resmi kurumlardan ölçüm tarihi alınmış/örneklemesi yapılmış, analize başlanmış veya belirtilen aşamalardan herhangi biri ya da birkaçının gerçekleştiği durumlarda hizmet alımınız tarafınızca sonlandırıldığında; hali hazırda gerçekleştirilmiş işlem için yapılan işlem tutarı kadar tazminat bedeli fatura edilecektir. İ̇şin iptali için yalnızca yazılı olarak talep gelmesi durumunda iptal işlemi uygulanacaktır. Hizmet alımınız bizim tarafımızdan sonlandırıldığında; teklif onayında alınan ücretin tamamı iade edilecektir. </a:t>
          </a:r>
        </a:p>
        <a:p>
          <a:pPr lvl="0"/>
          <a:endParaRPr lang="tr-TR" sz="900" b="1">
            <a:solidFill>
              <a:schemeClr val="dk1"/>
            </a:solidFill>
            <a:effectLst/>
            <a:latin typeface="+mn-lt"/>
            <a:ea typeface="+mn-ea"/>
            <a:cs typeface="+mn-cs"/>
          </a:endParaRPr>
        </a:p>
        <a:p>
          <a:pPr lvl="0"/>
          <a:r>
            <a:rPr lang="tr-TR" sz="900" b="1">
              <a:solidFill>
                <a:schemeClr val="dk1"/>
              </a:solidFill>
              <a:effectLst/>
              <a:latin typeface="+mn-lt"/>
              <a:ea typeface="+mn-ea"/>
              <a:cs typeface="+mn-cs"/>
            </a:rPr>
            <a:t>6)   </a:t>
          </a:r>
          <a:r>
            <a:rPr lang="tr-TR" sz="900">
              <a:solidFill>
                <a:schemeClr val="dk1"/>
              </a:solidFill>
              <a:effectLst/>
              <a:latin typeface="+mn-lt"/>
              <a:ea typeface="+mn-ea"/>
              <a:cs typeface="+mn-cs"/>
            </a:rPr>
            <a:t>Ölçüm / Numune alma esnasında başka bir kaynağın/parametrenin tespit edilmesi durumunda ölçüm/numune alma/analiz gerçekleştirilecek olup belirtilen birim fiyata göre ilave ücretlendirme yapılacaktır.</a:t>
          </a:r>
        </a:p>
        <a:p>
          <a:pPr lvl="0"/>
          <a:endParaRPr lang="tr-TR" sz="900">
            <a:solidFill>
              <a:schemeClr val="dk1"/>
            </a:solidFill>
            <a:effectLst/>
            <a:latin typeface="+mn-lt"/>
            <a:ea typeface="+mn-ea"/>
            <a:cs typeface="+mn-cs"/>
          </a:endParaRPr>
        </a:p>
        <a:p>
          <a:pPr lvl="0"/>
          <a:r>
            <a:rPr lang="tr-TR" sz="900" b="1">
              <a:solidFill>
                <a:schemeClr val="dk1"/>
              </a:solidFill>
              <a:effectLst/>
              <a:latin typeface="+mn-lt"/>
              <a:ea typeface="+mn-ea"/>
              <a:cs typeface="+mn-cs"/>
            </a:rPr>
            <a:t>7)  </a:t>
          </a:r>
          <a:r>
            <a:rPr lang="tr-TR" sz="900">
              <a:solidFill>
                <a:schemeClr val="dk1"/>
              </a:solidFill>
              <a:effectLst/>
              <a:latin typeface="+mn-lt"/>
              <a:ea typeface="+mn-ea"/>
              <a:cs typeface="+mn-cs"/>
            </a:rPr>
            <a:t>Rapor teslimi, ölçüm / numune alma / analiz tamamlandıktan sonra, 20 iş günü içerisinde tarafınıza gönderilecektir. </a:t>
          </a:r>
        </a:p>
        <a:p>
          <a:pPr lvl="0"/>
          <a:endParaRPr lang="tr-TR" sz="900">
            <a:solidFill>
              <a:schemeClr val="dk1"/>
            </a:solidFill>
            <a:effectLst/>
            <a:latin typeface="+mn-lt"/>
            <a:ea typeface="+mn-ea"/>
            <a:cs typeface="+mn-cs"/>
          </a:endParaRPr>
        </a:p>
        <a:p>
          <a:pPr lvl="0"/>
          <a:r>
            <a:rPr lang="tr-TR" sz="900" b="1">
              <a:solidFill>
                <a:schemeClr val="dk1"/>
              </a:solidFill>
              <a:effectLst/>
              <a:latin typeface="+mn-lt"/>
              <a:ea typeface="+mn-ea"/>
              <a:cs typeface="+mn-cs"/>
            </a:rPr>
            <a:t>8)  </a:t>
          </a:r>
          <a:r>
            <a:rPr lang="tr-TR" sz="900">
              <a:solidFill>
                <a:schemeClr val="dk1"/>
              </a:solidFill>
              <a:effectLst/>
              <a:latin typeface="+mn-lt"/>
              <a:ea typeface="+mn-ea"/>
              <a:cs typeface="+mn-cs"/>
            </a:rPr>
            <a:t>Ölçüm/Analiz raporları, ölçümlerin tamamlanmasını takiben sözleşmede belirtilen ücretin “ödendi belgesi”nin tarafımıza iletilmesinden sonra 15 gün içerisinde (1) nüsha halinde teslim edilir. Bunun dışında ilave ölçüm/analiz raporu ekstra ücretlendirilecektir.</a:t>
          </a:r>
        </a:p>
        <a:p>
          <a:pPr lvl="0"/>
          <a:endParaRPr lang="tr-TR" sz="900">
            <a:solidFill>
              <a:schemeClr val="dk1"/>
            </a:solidFill>
            <a:effectLst/>
            <a:latin typeface="+mn-lt"/>
            <a:ea typeface="+mn-ea"/>
            <a:cs typeface="+mn-cs"/>
          </a:endParaRPr>
        </a:p>
        <a:p>
          <a:pPr lvl="0"/>
          <a:r>
            <a:rPr lang="tr-TR" sz="900" b="1">
              <a:solidFill>
                <a:schemeClr val="dk1"/>
              </a:solidFill>
              <a:effectLst/>
              <a:latin typeface="+mn-lt"/>
              <a:ea typeface="+mn-ea"/>
              <a:cs typeface="+mn-cs"/>
            </a:rPr>
            <a:t>9)  </a:t>
          </a:r>
          <a:r>
            <a:rPr lang="tr-TR" sz="900" b="0">
              <a:solidFill>
                <a:schemeClr val="dk1"/>
              </a:solidFill>
              <a:effectLst/>
              <a:latin typeface="+mn-lt"/>
              <a:ea typeface="+mn-ea"/>
              <a:cs typeface="+mn-cs"/>
            </a:rPr>
            <a:t>Ölçüm</a:t>
          </a:r>
          <a:r>
            <a:rPr lang="tr-TR" sz="900" b="0" baseline="0">
              <a:solidFill>
                <a:schemeClr val="dk1"/>
              </a:solidFill>
              <a:effectLst/>
              <a:latin typeface="+mn-lt"/>
              <a:ea typeface="+mn-ea"/>
              <a:cs typeface="+mn-cs"/>
            </a:rPr>
            <a:t> süresi paremetre sayısına göre değişmektedir. Ölçüm birim süreleri Toz :2 saat, Ortam Gürültü:15 dk, Kişisel Gürültü seçilecek metoda göre:15 dk-5 gün, Anlık Gaz:5 dk, Aydınlatma: 2dk, Termal Konfor:1-2 saat  şeklindedir. </a:t>
          </a:r>
          <a:r>
            <a:rPr lang="tr-TR" sz="900">
              <a:solidFill>
                <a:schemeClr val="dk1"/>
              </a:solidFill>
              <a:effectLst/>
              <a:latin typeface="+mn-lt"/>
              <a:ea typeface="+mn-ea"/>
              <a:cs typeface="+mn-cs"/>
            </a:rPr>
            <a:t>Raporlarda sunulan ölçüm/analiz sonuçlarına itiraz süresi rapor tarihi itibari ile en fazla 15 gündür. Analiz numuneleri, raporun teslim tarihinden itibaren ilgili standarda uygun olduğu süre dikkate alınarak en fazla iki hafta süre ile saklanacak, bu sürenin bitiminde imha edilecektir. Bu süreden sonraki itirazlar değerlendirmeye alınmayacaktır. Muhafaza şartları bu süreye imkan vermeyen numuneler ve analizi gerçekleştirilemeyecek kadar az miktardaki numuneler tarafınıza bildirilecektir.</a:t>
          </a:r>
        </a:p>
        <a:p>
          <a:pPr lvl="0"/>
          <a:endParaRPr lang="tr-TR" sz="900">
            <a:solidFill>
              <a:schemeClr val="dk1"/>
            </a:solidFill>
            <a:effectLst/>
            <a:latin typeface="+mn-lt"/>
            <a:ea typeface="+mn-ea"/>
            <a:cs typeface="+mn-cs"/>
          </a:endParaRPr>
        </a:p>
        <a:p>
          <a:pPr lvl="0"/>
          <a:r>
            <a:rPr lang="tr-TR" sz="900" b="1">
              <a:solidFill>
                <a:schemeClr val="dk1"/>
              </a:solidFill>
              <a:effectLst/>
              <a:latin typeface="+mn-lt"/>
              <a:ea typeface="+mn-ea"/>
              <a:cs typeface="+mn-cs"/>
            </a:rPr>
            <a:t>10)  </a:t>
          </a:r>
          <a:r>
            <a:rPr lang="tr-TR" sz="900">
              <a:solidFill>
                <a:schemeClr val="dk1"/>
              </a:solidFill>
              <a:effectLst/>
              <a:latin typeface="+mn-lt"/>
              <a:ea typeface="+mn-ea"/>
              <a:cs typeface="+mn-cs"/>
            </a:rPr>
            <a:t>Ölçüm/Analiz sonuçlarının uygun çıkmaması ve tarafınızdan kaynaklanacak sebeplerden ötürü ölçüm/numune alma/analiz işlemlerinin tekrarlanması durumunda gerçekleştirilecek ölçüm/numune alma/analiz işlemi sözleşmede belirtilen birim fiyat üzerinden tekrar fatura edilir.</a:t>
          </a:r>
        </a:p>
        <a:p>
          <a:pPr lvl="0"/>
          <a:endParaRPr lang="tr-TR" sz="900" b="1">
            <a:solidFill>
              <a:schemeClr val="dk1"/>
            </a:solidFill>
            <a:effectLst/>
            <a:latin typeface="+mn-lt"/>
            <a:ea typeface="+mn-ea"/>
            <a:cs typeface="+mn-cs"/>
          </a:endParaRPr>
        </a:p>
        <a:p>
          <a:pPr lvl="0"/>
          <a:r>
            <a:rPr lang="tr-TR" sz="900" b="1">
              <a:solidFill>
                <a:schemeClr val="dk1"/>
              </a:solidFill>
              <a:effectLst/>
              <a:latin typeface="+mn-lt"/>
              <a:ea typeface="+mn-ea"/>
              <a:cs typeface="+mn-cs"/>
            </a:rPr>
            <a:t>11)   </a:t>
          </a:r>
          <a:r>
            <a:rPr lang="tr-TR" sz="900">
              <a:solidFill>
                <a:schemeClr val="dk1"/>
              </a:solidFill>
              <a:effectLst/>
              <a:latin typeface="+mn-lt"/>
              <a:ea typeface="+mn-ea"/>
              <a:cs typeface="+mn-cs"/>
            </a:rPr>
            <a:t>Teklifte belirtilen hükümler, teklifin verildiği tarihten itibaren 1 ay süre için geçerlidir. 1 ay’ı geçen durumlarda teklif revize edilecektir.</a:t>
          </a:r>
        </a:p>
        <a:p>
          <a:pPr lvl="0"/>
          <a:endParaRPr lang="tr-TR" sz="900">
            <a:solidFill>
              <a:schemeClr val="dk1"/>
            </a:solidFill>
            <a:effectLst/>
            <a:latin typeface="+mn-lt"/>
            <a:ea typeface="+mn-ea"/>
            <a:cs typeface="+mn-cs"/>
          </a:endParaRPr>
        </a:p>
        <a:p>
          <a:pPr lvl="0"/>
          <a:r>
            <a:rPr lang="tr-TR" sz="900" b="1">
              <a:solidFill>
                <a:schemeClr val="dk1"/>
              </a:solidFill>
              <a:effectLst/>
              <a:latin typeface="+mn-lt"/>
              <a:ea typeface="+mn-ea"/>
              <a:cs typeface="+mn-cs"/>
            </a:rPr>
            <a:t>12)</a:t>
          </a:r>
          <a:r>
            <a:rPr lang="tr-TR" sz="900" b="1" baseline="0">
              <a:solidFill>
                <a:schemeClr val="dk1"/>
              </a:solidFill>
              <a:effectLst/>
              <a:latin typeface="+mn-lt"/>
              <a:ea typeface="+mn-ea"/>
              <a:cs typeface="+mn-cs"/>
            </a:rPr>
            <a:t>   </a:t>
          </a:r>
          <a:r>
            <a:rPr lang="tr-TR" sz="900">
              <a:solidFill>
                <a:schemeClr val="dk1"/>
              </a:solidFill>
              <a:effectLst/>
              <a:latin typeface="+mn-lt"/>
              <a:ea typeface="+mn-ea"/>
              <a:cs typeface="+mn-cs"/>
            </a:rPr>
            <a:t>Ulaşım ve konaklama giderleri firmamıza aittir. Ancak tarafınızdan kaynaklanan sebeplerden ötürü gidiş–geliş ulaşım ve konaklama giderleri tarafınıza fatura edilecektir.</a:t>
          </a:r>
        </a:p>
        <a:p>
          <a:pPr lvl="0"/>
          <a:endParaRPr lang="tr-TR" sz="9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tr-TR" sz="900" b="1">
              <a:solidFill>
                <a:schemeClr val="dk1"/>
              </a:solidFill>
              <a:effectLst/>
              <a:latin typeface="+mn-lt"/>
              <a:ea typeface="+mn-ea"/>
              <a:cs typeface="+mn-cs"/>
            </a:rPr>
            <a:t>13)</a:t>
          </a:r>
          <a:r>
            <a:rPr lang="tr-TR" sz="900" b="1" baseline="0">
              <a:solidFill>
                <a:schemeClr val="dk1"/>
              </a:solidFill>
              <a:effectLst/>
              <a:latin typeface="+mn-lt"/>
              <a:ea typeface="+mn-ea"/>
              <a:cs typeface="+mn-cs"/>
            </a:rPr>
            <a:t>  </a:t>
          </a:r>
          <a:r>
            <a:rPr lang="tr-TR" sz="900">
              <a:solidFill>
                <a:schemeClr val="dk1"/>
              </a:solidFill>
              <a:effectLst/>
              <a:latin typeface="+mn-lt"/>
              <a:ea typeface="+mn-ea"/>
              <a:cs typeface="+mn-cs"/>
            </a:rPr>
            <a:t>Müşteri tarafından verilecek bilgi ve belgeler ile tarafımızca hazırlanan sonuç raporu 3. şahıslar ile kesinlikle paylaşılmayacak ve gizlilik prensibine   uygun işleyiş sürdürülecektir.Kanunen zorunlu olduğu durumlarda müşteri bilgilendirilir.</a:t>
          </a:r>
        </a:p>
        <a:p>
          <a:pPr lvl="0"/>
          <a:endParaRPr lang="tr-TR" sz="900">
            <a:solidFill>
              <a:schemeClr val="dk1"/>
            </a:solidFill>
            <a:effectLst/>
            <a:latin typeface="+mn-lt"/>
            <a:ea typeface="+mn-ea"/>
            <a:cs typeface="+mn-cs"/>
          </a:endParaRPr>
        </a:p>
        <a:p>
          <a:pPr lvl="0"/>
          <a:r>
            <a:rPr lang="tr-TR" sz="900" b="1">
              <a:solidFill>
                <a:schemeClr val="dk1"/>
              </a:solidFill>
              <a:effectLst/>
              <a:latin typeface="+mn-lt"/>
              <a:ea typeface="+mn-ea"/>
              <a:cs typeface="+mn-cs"/>
            </a:rPr>
            <a:t>14)     </a:t>
          </a:r>
          <a:r>
            <a:rPr lang="tr-TR" sz="900">
              <a:solidFill>
                <a:schemeClr val="dk1"/>
              </a:solidFill>
              <a:effectLst/>
              <a:latin typeface="+mn-lt"/>
              <a:ea typeface="+mn-ea"/>
              <a:cs typeface="+mn-cs"/>
            </a:rPr>
            <a:t>Bir ihtilaf söz konusu olduğunda ÖNDER MUAYENE, Müşteri/Firma Temsilcisinin deneye tanıklık etmesini taahhüt eder. Böyle bir durumda Müşteri/Firma Temsilcisi ÖNDER MUAYENE’nin müsaade ettiği alanlar içerisinde deneye tanıklık edebilir.</a:t>
          </a:r>
        </a:p>
        <a:p>
          <a:pPr lvl="0"/>
          <a:endParaRPr lang="tr-TR" sz="900">
            <a:solidFill>
              <a:schemeClr val="dk1"/>
            </a:solidFill>
            <a:effectLst/>
            <a:latin typeface="+mn-lt"/>
            <a:ea typeface="+mn-ea"/>
            <a:cs typeface="+mn-cs"/>
          </a:endParaRPr>
        </a:p>
        <a:p>
          <a:pPr lvl="0"/>
          <a:r>
            <a:rPr lang="tr-TR" sz="900" b="1">
              <a:solidFill>
                <a:schemeClr val="dk1"/>
              </a:solidFill>
              <a:effectLst/>
              <a:latin typeface="+mn-lt"/>
              <a:ea typeface="+mn-ea"/>
              <a:cs typeface="+mn-cs"/>
            </a:rPr>
            <a:t>15)    </a:t>
          </a:r>
          <a:r>
            <a:rPr lang="tr-TR" sz="900">
              <a:solidFill>
                <a:schemeClr val="dk1"/>
              </a:solidFill>
              <a:effectLst/>
              <a:latin typeface="+mn-lt"/>
              <a:ea typeface="+mn-ea"/>
              <a:cs typeface="+mn-cs"/>
            </a:rPr>
            <a:t>Bu teklif, karşılıklı onaylandıktan sonra sözleşme yerine geçer. Periyodik hizmetler için yıllık sözleşme yapılacak olup, hizmetin periyodik olarak yapılacağı işveren tarafından bildirilecektir.</a:t>
          </a:r>
        </a:p>
        <a:p>
          <a:pPr lvl="0"/>
          <a:endParaRPr lang="tr-TR" sz="900">
            <a:solidFill>
              <a:schemeClr val="dk1"/>
            </a:solidFill>
            <a:effectLst/>
            <a:latin typeface="+mn-lt"/>
            <a:ea typeface="+mn-ea"/>
            <a:cs typeface="+mn-cs"/>
          </a:endParaRPr>
        </a:p>
        <a:p>
          <a:pPr lvl="0"/>
          <a:r>
            <a:rPr lang="tr-TR" sz="900" b="1">
              <a:solidFill>
                <a:schemeClr val="dk1"/>
              </a:solidFill>
              <a:effectLst/>
              <a:latin typeface="+mn-lt"/>
              <a:ea typeface="+mn-ea"/>
              <a:cs typeface="+mn-cs"/>
            </a:rPr>
            <a:t>16) </a:t>
          </a:r>
          <a:r>
            <a:rPr lang="tr-TR" sz="900">
              <a:solidFill>
                <a:schemeClr val="dk1"/>
              </a:solidFill>
              <a:effectLst/>
              <a:latin typeface="+mn-lt"/>
              <a:ea typeface="+mn-ea"/>
              <a:cs typeface="+mn-cs"/>
            </a:rPr>
            <a:t>Müşteri talebiyle</a:t>
          </a:r>
          <a:r>
            <a:rPr lang="tr-TR" sz="900" baseline="0">
              <a:solidFill>
                <a:schemeClr val="dk1"/>
              </a:solidFill>
              <a:effectLst/>
              <a:latin typeface="+mn-lt"/>
              <a:ea typeface="+mn-ea"/>
              <a:cs typeface="+mn-cs"/>
            </a:rPr>
            <a:t> deney sonuçlarında hiçbir şekilde değişiklik yapılmayacaktır.</a:t>
          </a:r>
          <a:endParaRPr lang="tr-TR" sz="900">
            <a:solidFill>
              <a:schemeClr val="dk1"/>
            </a:solidFill>
            <a:effectLst/>
            <a:latin typeface="+mn-lt"/>
            <a:ea typeface="+mn-ea"/>
            <a:cs typeface="+mn-cs"/>
          </a:endParaRPr>
        </a:p>
        <a:p>
          <a:pPr lvl="0"/>
          <a:endParaRPr lang="tr-TR" sz="900">
            <a:solidFill>
              <a:schemeClr val="dk1"/>
            </a:solidFill>
            <a:effectLst/>
            <a:latin typeface="+mn-lt"/>
            <a:ea typeface="+mn-ea"/>
            <a:cs typeface="+mn-cs"/>
          </a:endParaRPr>
        </a:p>
        <a:p>
          <a:pPr lvl="0"/>
          <a:r>
            <a:rPr lang="tr-TR" sz="900" b="1">
              <a:solidFill>
                <a:schemeClr val="dk1"/>
              </a:solidFill>
              <a:effectLst/>
              <a:latin typeface="+mn-lt"/>
              <a:ea typeface="+mn-ea"/>
              <a:cs typeface="+mn-cs"/>
            </a:rPr>
            <a:t>17)    </a:t>
          </a:r>
          <a:r>
            <a:rPr lang="tr-TR" sz="900">
              <a:solidFill>
                <a:schemeClr val="dk1"/>
              </a:solidFill>
              <a:effectLst/>
              <a:latin typeface="+mn-lt"/>
              <a:ea typeface="+mn-ea"/>
              <a:cs typeface="+mn-cs"/>
            </a:rPr>
            <a:t>Bu anlaşma kapsamındaki her türlü ihtilaf durumunda Konya Mahkemeleri yetkilidir. </a:t>
          </a:r>
        </a:p>
        <a:p>
          <a:pPr lvl="0"/>
          <a:endParaRPr lang="tr-TR" sz="9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tr-TR" sz="900" b="1">
              <a:solidFill>
                <a:schemeClr val="dk1"/>
              </a:solidFill>
              <a:effectLst/>
              <a:latin typeface="+mn-lt"/>
              <a:ea typeface="+mn-ea"/>
              <a:cs typeface="+mn-cs"/>
            </a:rPr>
            <a:t>18)    </a:t>
          </a:r>
          <a:r>
            <a:rPr lang="tr-TR" sz="900">
              <a:solidFill>
                <a:schemeClr val="dk1"/>
              </a:solidFill>
              <a:effectLst/>
              <a:latin typeface="+mn-lt"/>
              <a:ea typeface="+mn-ea"/>
              <a:cs typeface="+mn-cs"/>
            </a:rPr>
            <a:t>Onay için Teklifin son sayfasını onaylayarak firma yetkililerimize; Elden teslim edebilir,  </a:t>
          </a:r>
          <a:r>
            <a:rPr lang="tr-TR" sz="900" b="1">
              <a:solidFill>
                <a:schemeClr val="dk1"/>
              </a:solidFill>
              <a:effectLst/>
              <a:latin typeface="+mn-lt"/>
              <a:ea typeface="+mn-ea"/>
              <a:cs typeface="+mn-cs"/>
            </a:rPr>
            <a:t>0332 300 00 20 </a:t>
          </a:r>
          <a:r>
            <a:rPr lang="tr-TR" sz="900">
              <a:solidFill>
                <a:schemeClr val="dk1"/>
              </a:solidFill>
              <a:effectLst/>
              <a:latin typeface="+mn-lt"/>
              <a:ea typeface="+mn-ea"/>
              <a:cs typeface="+mn-cs"/>
            </a:rPr>
            <a:t>numaralı faksa gönderebilir veya     </a:t>
          </a:r>
          <a:r>
            <a:rPr lang="tr-TR" sz="900" b="1">
              <a:solidFill>
                <a:schemeClr val="dk1"/>
              </a:solidFill>
              <a:effectLst/>
              <a:latin typeface="+mn-lt"/>
              <a:ea typeface="+mn-ea"/>
              <a:cs typeface="+mn-cs"/>
            </a:rPr>
            <a:t>info@ondermuayene.com.tr</a:t>
          </a:r>
          <a:r>
            <a:rPr lang="tr-TR" sz="900">
              <a:solidFill>
                <a:schemeClr val="dk1"/>
              </a:solidFill>
              <a:effectLst/>
              <a:latin typeface="+mn-lt"/>
              <a:ea typeface="+mn-ea"/>
              <a:cs typeface="+mn-cs"/>
            </a:rPr>
            <a:t> elektronik posta adresine ulaştırabilirsiniz.</a:t>
          </a:r>
        </a:p>
        <a:p>
          <a:endParaRPr lang="tr-TR" sz="900">
            <a:effectLst/>
          </a:endParaRPr>
        </a:p>
        <a:p>
          <a:pPr lvl="0"/>
          <a:r>
            <a:rPr lang="tr-TR" sz="900" b="1">
              <a:solidFill>
                <a:schemeClr val="dk1"/>
              </a:solidFill>
              <a:effectLst/>
              <a:latin typeface="+mn-lt"/>
              <a:ea typeface="+mn-ea"/>
              <a:cs typeface="+mn-cs"/>
            </a:rPr>
            <a:t>19)     </a:t>
          </a:r>
          <a:r>
            <a:rPr lang="tr-TR" sz="900">
              <a:solidFill>
                <a:schemeClr val="dk1"/>
              </a:solidFill>
              <a:effectLst/>
              <a:latin typeface="+mn-lt"/>
              <a:ea typeface="+mn-ea"/>
              <a:cs typeface="+mn-cs"/>
            </a:rPr>
            <a:t>Banka Hesap Bilgilerimiz; </a:t>
          </a:r>
        </a:p>
        <a:p>
          <a:pPr lvl="0"/>
          <a:r>
            <a:rPr lang="tr-TR" sz="900">
              <a:solidFill>
                <a:schemeClr val="dk1"/>
              </a:solidFill>
              <a:effectLst/>
              <a:latin typeface="+mn-lt"/>
              <a:ea typeface="+mn-ea"/>
              <a:cs typeface="+mn-cs"/>
            </a:rPr>
            <a:t>   </a:t>
          </a:r>
          <a:r>
            <a:rPr lang="tr-TR" sz="900" baseline="0">
              <a:solidFill>
                <a:schemeClr val="dk1"/>
              </a:solidFill>
              <a:effectLst/>
              <a:latin typeface="+mn-lt"/>
              <a:ea typeface="+mn-ea"/>
              <a:cs typeface="+mn-cs"/>
            </a:rPr>
            <a:t> </a:t>
          </a:r>
          <a:r>
            <a:rPr lang="tr-TR" sz="900">
              <a:solidFill>
                <a:schemeClr val="dk1"/>
              </a:solidFill>
              <a:effectLst/>
              <a:latin typeface="+mn-lt"/>
              <a:ea typeface="+mn-ea"/>
              <a:cs typeface="+mn-cs"/>
            </a:rPr>
            <a:t>       Önder Muayene Test ve Ölçüm</a:t>
          </a:r>
        </a:p>
        <a:p>
          <a:pPr lvl="0"/>
          <a:r>
            <a:rPr lang="tr-TR" sz="900">
              <a:solidFill>
                <a:schemeClr val="dk1"/>
              </a:solidFill>
              <a:effectLst/>
              <a:latin typeface="+mn-lt"/>
              <a:ea typeface="+mn-ea"/>
              <a:cs typeface="+mn-cs"/>
            </a:rPr>
            <a:t>           Ziraat Bankası / Buğday Pazarı / Konya</a:t>
          </a:r>
          <a:r>
            <a:rPr lang="tr-TR" sz="900" baseline="0">
              <a:solidFill>
                <a:schemeClr val="dk1"/>
              </a:solidFill>
              <a:effectLst/>
              <a:latin typeface="+mn-lt"/>
              <a:ea typeface="+mn-ea"/>
              <a:cs typeface="+mn-cs"/>
            </a:rPr>
            <a:t>  /  </a:t>
          </a:r>
          <a:r>
            <a:rPr lang="tr-TR" sz="900" b="1">
              <a:solidFill>
                <a:schemeClr val="dk1"/>
              </a:solidFill>
              <a:effectLst/>
              <a:latin typeface="+mn-lt"/>
              <a:ea typeface="+mn-ea"/>
              <a:cs typeface="+mn-cs"/>
            </a:rPr>
            <a:t>TR80 0001 0025 2894 1001 5650 01</a:t>
          </a:r>
        </a:p>
      </xdr:txBody>
    </xdr:sp>
    <xdr:clientData/>
  </xdr:twoCellAnchor>
  <xdr:twoCellAnchor editAs="oneCell">
    <xdr:from>
      <xdr:col>5</xdr:col>
      <xdr:colOff>200043</xdr:colOff>
      <xdr:row>4</xdr:row>
      <xdr:rowOff>82826</xdr:rowOff>
    </xdr:from>
    <xdr:to>
      <xdr:col>5</xdr:col>
      <xdr:colOff>737709</xdr:colOff>
      <xdr:row>8</xdr:row>
      <xdr:rowOff>62974</xdr:rowOff>
    </xdr:to>
    <xdr:pic>
      <xdr:nvPicPr>
        <xdr:cNvPr id="10" name="Resim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7"/>
        <a:stretch>
          <a:fillRect/>
        </a:stretch>
      </xdr:blipFill>
      <xdr:spPr>
        <a:xfrm>
          <a:off x="5732826" y="877956"/>
          <a:ext cx="537666" cy="775279"/>
        </a:xfrm>
        <a:prstGeom prst="rect">
          <a:avLst/>
        </a:prstGeom>
      </xdr:spPr>
    </xdr:pic>
    <xdr:clientData/>
  </xdr:twoCellAnchor>
  <xdr:twoCellAnchor editAs="oneCell">
    <xdr:from>
      <xdr:col>4</xdr:col>
      <xdr:colOff>325372</xdr:colOff>
      <xdr:row>182</xdr:row>
      <xdr:rowOff>167934</xdr:rowOff>
    </xdr:from>
    <xdr:to>
      <xdr:col>6</xdr:col>
      <xdr:colOff>227865</xdr:colOff>
      <xdr:row>186</xdr:row>
      <xdr:rowOff>750</xdr:rowOff>
    </xdr:to>
    <xdr:pic>
      <xdr:nvPicPr>
        <xdr:cNvPr id="15" name="Resim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5"/>
        <a:stretch>
          <a:fillRect/>
        </a:stretch>
      </xdr:blipFill>
      <xdr:spPr>
        <a:xfrm>
          <a:off x="5080000" y="44219091"/>
          <a:ext cx="1718278" cy="630503"/>
        </a:xfrm>
        <a:prstGeom prst="rect">
          <a:avLst/>
        </a:prstGeom>
      </xdr:spPr>
    </xdr:pic>
    <xdr:clientData/>
  </xdr:twoCellAnchor>
</xdr:wsDr>
</file>

<file path=xl/theme/theme1.xml><?xml version="1.0" encoding="utf-8"?>
<a:theme xmlns:a="http://schemas.openxmlformats.org/drawingml/2006/main" name="Office Teması">
  <a:themeElements>
    <a:clrScheme name="Ofis">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is">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habibecekic@ettat.com.t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1"/>
  <sheetViews>
    <sheetView tabSelected="1" view="pageLayout" topLeftCell="A61" zoomScale="85" zoomScaleNormal="121" zoomScalePageLayoutView="85" workbookViewId="0">
      <selection activeCell="C18" sqref="C18:F19"/>
    </sheetView>
  </sheetViews>
  <sheetFormatPr defaultColWidth="8.875" defaultRowHeight="15.75"/>
  <cols>
    <col min="1" max="1" width="5" style="9" customWidth="1"/>
    <col min="2" max="2" width="18.875" style="10" customWidth="1"/>
    <col min="3" max="3" width="31.375" style="10" customWidth="1"/>
    <col min="4" max="4" width="7.375" style="10" customWidth="1"/>
    <col min="5" max="5" width="9.875" style="11" customWidth="1"/>
    <col min="6" max="6" width="14" style="10" customWidth="1"/>
    <col min="7" max="7" width="17.5" style="12" bestFit="1" customWidth="1"/>
  </cols>
  <sheetData>
    <row r="1" spans="1:7">
      <c r="A1" s="13"/>
      <c r="B1" s="14"/>
      <c r="C1" s="14"/>
      <c r="D1" s="14"/>
      <c r="E1" s="1"/>
      <c r="F1" s="14"/>
      <c r="G1" s="3"/>
    </row>
    <row r="2" spans="1:7">
      <c r="A2" s="13"/>
      <c r="B2" s="14"/>
      <c r="C2" s="14"/>
      <c r="D2" s="14"/>
      <c r="E2" s="1"/>
      <c r="F2" s="14"/>
      <c r="G2" s="3"/>
    </row>
    <row r="3" spans="1:7">
      <c r="A3" s="13"/>
      <c r="B3" s="14"/>
      <c r="C3" s="14"/>
      <c r="D3" s="14"/>
      <c r="E3" s="1"/>
      <c r="F3" s="14"/>
      <c r="G3" s="3"/>
    </row>
    <row r="4" spans="1:7">
      <c r="A4" s="13"/>
      <c r="B4" s="14"/>
      <c r="C4" s="14"/>
      <c r="D4" s="14"/>
      <c r="E4" s="1"/>
      <c r="F4" s="14"/>
      <c r="G4" s="3"/>
    </row>
    <row r="5" spans="1:7">
      <c r="A5" s="13"/>
      <c r="B5" s="14"/>
      <c r="C5" s="14"/>
      <c r="D5" s="14"/>
      <c r="E5" s="1"/>
      <c r="F5" s="14"/>
      <c r="G5" s="3"/>
    </row>
    <row r="6" spans="1:7">
      <c r="A6" s="13"/>
      <c r="B6" s="14"/>
      <c r="C6" s="14"/>
      <c r="D6" s="14"/>
      <c r="E6" s="1"/>
      <c r="F6" s="14"/>
      <c r="G6" s="3"/>
    </row>
    <row r="7" spans="1:7">
      <c r="A7" s="13"/>
      <c r="B7" s="14"/>
      <c r="C7" s="14"/>
      <c r="D7" s="14"/>
      <c r="E7" s="1"/>
      <c r="F7" s="14"/>
      <c r="G7" s="3"/>
    </row>
    <row r="8" spans="1:7">
      <c r="A8" s="13"/>
      <c r="B8" s="14"/>
      <c r="C8" s="70" t="s">
        <v>29</v>
      </c>
      <c r="D8" s="70"/>
      <c r="E8" s="1"/>
      <c r="F8" s="14"/>
      <c r="G8" s="3"/>
    </row>
    <row r="9" spans="1:7">
      <c r="A9" s="13"/>
      <c r="B9" s="15"/>
      <c r="C9" s="15"/>
      <c r="D9" s="64"/>
      <c r="E9" s="64"/>
      <c r="F9" s="64"/>
      <c r="G9" s="3"/>
    </row>
    <row r="10" spans="1:7">
      <c r="A10" s="13"/>
      <c r="B10" s="67" t="s">
        <v>58</v>
      </c>
      <c r="C10" s="36">
        <v>45780</v>
      </c>
      <c r="D10" s="37"/>
      <c r="E10" s="37"/>
      <c r="F10" s="38"/>
      <c r="G10" s="3"/>
    </row>
    <row r="11" spans="1:7">
      <c r="A11" s="13"/>
      <c r="B11" s="68"/>
      <c r="C11" s="39"/>
      <c r="D11" s="40"/>
      <c r="E11" s="40"/>
      <c r="F11" s="41"/>
      <c r="G11" s="3"/>
    </row>
    <row r="12" spans="1:7">
      <c r="A12" s="13"/>
      <c r="B12" s="67" t="s">
        <v>30</v>
      </c>
      <c r="C12" s="42" t="s">
        <v>81</v>
      </c>
      <c r="D12" s="43"/>
      <c r="E12" s="43"/>
      <c r="F12" s="44"/>
      <c r="G12" s="3"/>
    </row>
    <row r="13" spans="1:7">
      <c r="A13" s="13"/>
      <c r="B13" s="68"/>
      <c r="C13" s="45"/>
      <c r="D13" s="46"/>
      <c r="E13" s="46"/>
      <c r="F13" s="47"/>
      <c r="G13" s="3"/>
    </row>
    <row r="14" spans="1:7" ht="15" customHeight="1">
      <c r="A14" s="13"/>
      <c r="B14" s="67" t="s">
        <v>31</v>
      </c>
      <c r="C14" s="42" t="s">
        <v>87</v>
      </c>
      <c r="D14" s="43"/>
      <c r="E14" s="43"/>
      <c r="F14" s="44"/>
      <c r="G14" s="3"/>
    </row>
    <row r="15" spans="1:7">
      <c r="A15" s="13"/>
      <c r="B15" s="68"/>
      <c r="C15" s="45"/>
      <c r="D15" s="46"/>
      <c r="E15" s="46"/>
      <c r="F15" s="47"/>
      <c r="G15" s="3"/>
    </row>
    <row r="16" spans="1:7">
      <c r="A16" s="13"/>
      <c r="B16" s="67" t="s">
        <v>32</v>
      </c>
      <c r="C16" s="42" t="s">
        <v>88</v>
      </c>
      <c r="D16" s="43"/>
      <c r="E16" s="43"/>
      <c r="F16" s="44"/>
      <c r="G16" s="3"/>
    </row>
    <row r="17" spans="1:7">
      <c r="A17" s="13"/>
      <c r="B17" s="68"/>
      <c r="C17" s="45"/>
      <c r="D17" s="46"/>
      <c r="E17" s="46"/>
      <c r="F17" s="47"/>
      <c r="G17" s="3"/>
    </row>
    <row r="18" spans="1:7">
      <c r="A18" s="13"/>
      <c r="B18" s="67" t="s">
        <v>33</v>
      </c>
      <c r="C18" s="42" t="s">
        <v>72</v>
      </c>
      <c r="D18" s="43"/>
      <c r="E18" s="43"/>
      <c r="F18" s="44"/>
      <c r="G18" s="3"/>
    </row>
    <row r="19" spans="1:7">
      <c r="A19" s="13"/>
      <c r="B19" s="68"/>
      <c r="C19" s="45"/>
      <c r="D19" s="46"/>
      <c r="E19" s="46"/>
      <c r="F19" s="47"/>
      <c r="G19" s="3"/>
    </row>
    <row r="20" spans="1:7">
      <c r="A20" s="13"/>
      <c r="B20" s="67" t="s">
        <v>57</v>
      </c>
      <c r="C20" s="42" t="s">
        <v>72</v>
      </c>
      <c r="D20" s="43"/>
      <c r="E20" s="43"/>
      <c r="F20" s="44"/>
      <c r="G20" s="3"/>
    </row>
    <row r="21" spans="1:7">
      <c r="A21" s="13"/>
      <c r="B21" s="68"/>
      <c r="C21" s="45"/>
      <c r="D21" s="46"/>
      <c r="E21" s="46"/>
      <c r="F21" s="47"/>
      <c r="G21" s="3"/>
    </row>
    <row r="22" spans="1:7">
      <c r="A22" s="29"/>
      <c r="B22" s="67" t="s">
        <v>34</v>
      </c>
      <c r="C22" s="48" t="s">
        <v>72</v>
      </c>
      <c r="D22" s="43"/>
      <c r="E22" s="43"/>
      <c r="F22" s="44"/>
      <c r="G22" s="3"/>
    </row>
    <row r="23" spans="1:7">
      <c r="A23" s="29"/>
      <c r="B23" s="68"/>
      <c r="C23" s="45"/>
      <c r="D23" s="46"/>
      <c r="E23" s="46"/>
      <c r="F23" s="47"/>
      <c r="G23" s="3"/>
    </row>
    <row r="24" spans="1:7">
      <c r="A24" s="13"/>
      <c r="B24" s="67" t="s">
        <v>35</v>
      </c>
      <c r="C24" s="42" t="s">
        <v>36</v>
      </c>
      <c r="D24" s="43"/>
      <c r="E24" s="43"/>
      <c r="F24" s="44"/>
      <c r="G24" s="3"/>
    </row>
    <row r="25" spans="1:7">
      <c r="A25" s="13"/>
      <c r="B25" s="68"/>
      <c r="C25" s="45"/>
      <c r="D25" s="46"/>
      <c r="E25" s="46"/>
      <c r="F25" s="47"/>
      <c r="G25" s="3"/>
    </row>
    <row r="26" spans="1:7">
      <c r="A26" s="13"/>
      <c r="B26" s="14"/>
      <c r="C26" s="14"/>
      <c r="D26" s="14"/>
      <c r="E26" s="1"/>
      <c r="F26" s="14"/>
      <c r="G26" s="3"/>
    </row>
    <row r="27" spans="1:7" ht="15" customHeight="1">
      <c r="A27" s="13"/>
      <c r="B27" s="65"/>
      <c r="C27" s="65"/>
      <c r="D27" s="65"/>
      <c r="E27" s="65"/>
      <c r="F27" s="65"/>
      <c r="G27" s="65"/>
    </row>
    <row r="28" spans="1:7">
      <c r="A28" s="13"/>
      <c r="B28" s="65"/>
      <c r="C28" s="65"/>
      <c r="D28" s="65"/>
      <c r="E28" s="65"/>
      <c r="F28" s="65"/>
      <c r="G28" s="65"/>
    </row>
    <row r="29" spans="1:7">
      <c r="A29" s="13"/>
      <c r="B29" s="65"/>
      <c r="C29" s="65"/>
      <c r="D29" s="65"/>
      <c r="E29" s="65"/>
      <c r="F29" s="65"/>
      <c r="G29" s="65"/>
    </row>
    <row r="30" spans="1:7">
      <c r="A30" s="13"/>
      <c r="B30" s="65"/>
      <c r="C30" s="65"/>
      <c r="D30" s="65"/>
      <c r="E30" s="65"/>
      <c r="F30" s="65"/>
      <c r="G30" s="65"/>
    </row>
    <row r="31" spans="1:7">
      <c r="A31" s="13"/>
      <c r="B31" s="65"/>
      <c r="C31" s="65"/>
      <c r="D31" s="65"/>
      <c r="E31" s="65"/>
      <c r="F31" s="65"/>
      <c r="G31" s="65"/>
    </row>
    <row r="32" spans="1:7">
      <c r="A32" s="13"/>
      <c r="B32" s="65"/>
      <c r="C32" s="65"/>
      <c r="D32" s="65"/>
      <c r="E32" s="65"/>
      <c r="F32" s="65"/>
      <c r="G32" s="65"/>
    </row>
    <row r="33" spans="1:7">
      <c r="A33" s="13"/>
      <c r="B33" s="65"/>
      <c r="C33" s="65"/>
      <c r="D33" s="65"/>
      <c r="E33" s="65"/>
      <c r="F33" s="65"/>
      <c r="G33" s="65"/>
    </row>
    <row r="34" spans="1:7">
      <c r="A34" s="13"/>
      <c r="B34" s="14"/>
      <c r="C34" s="14"/>
      <c r="D34" s="14"/>
      <c r="E34" s="1"/>
      <c r="F34" s="14"/>
      <c r="G34" s="3"/>
    </row>
    <row r="35" spans="1:7" ht="15" customHeight="1">
      <c r="A35" s="13"/>
      <c r="B35" s="66" t="s">
        <v>70</v>
      </c>
      <c r="C35" s="66"/>
      <c r="D35" s="66"/>
      <c r="E35" s="66"/>
      <c r="F35" s="66"/>
      <c r="G35" s="66"/>
    </row>
    <row r="36" spans="1:7">
      <c r="A36" s="13"/>
      <c r="B36" s="66"/>
      <c r="C36" s="66"/>
      <c r="D36" s="66"/>
      <c r="E36" s="66"/>
      <c r="F36" s="66"/>
      <c r="G36" s="66"/>
    </row>
    <row r="37" spans="1:7">
      <c r="A37" s="13"/>
      <c r="B37" s="66"/>
      <c r="C37" s="66"/>
      <c r="D37" s="66"/>
      <c r="E37" s="66"/>
      <c r="F37" s="66"/>
      <c r="G37" s="66"/>
    </row>
    <row r="38" spans="1:7">
      <c r="A38" s="13"/>
      <c r="B38" s="66"/>
      <c r="C38" s="66"/>
      <c r="D38" s="66"/>
      <c r="E38" s="66"/>
      <c r="F38" s="66"/>
      <c r="G38" s="66"/>
    </row>
    <row r="39" spans="1:7">
      <c r="A39" s="13"/>
      <c r="B39" s="66"/>
      <c r="C39" s="66"/>
      <c r="D39" s="66"/>
      <c r="E39" s="66"/>
      <c r="F39" s="66"/>
      <c r="G39" s="66"/>
    </row>
    <row r="40" spans="1:7">
      <c r="A40" s="13"/>
      <c r="B40" s="66"/>
      <c r="C40" s="66"/>
      <c r="D40" s="66"/>
      <c r="E40" s="66"/>
      <c r="F40" s="66"/>
      <c r="G40" s="66"/>
    </row>
    <row r="41" spans="1:7">
      <c r="A41" s="13"/>
      <c r="B41" s="66"/>
      <c r="C41" s="66"/>
      <c r="D41" s="66"/>
      <c r="E41" s="66"/>
      <c r="F41" s="66"/>
      <c r="G41" s="66"/>
    </row>
    <row r="42" spans="1:7">
      <c r="A42" s="13"/>
      <c r="B42" s="66"/>
      <c r="C42" s="66"/>
      <c r="D42" s="66"/>
      <c r="E42" s="66"/>
      <c r="F42" s="66"/>
      <c r="G42" s="66"/>
    </row>
    <row r="43" spans="1:7">
      <c r="A43" s="13"/>
      <c r="B43" s="66"/>
      <c r="C43" s="66"/>
      <c r="D43" s="66"/>
      <c r="E43" s="66"/>
      <c r="F43" s="66"/>
      <c r="G43" s="66"/>
    </row>
    <row r="44" spans="1:7">
      <c r="A44" s="13"/>
      <c r="B44" s="66"/>
      <c r="C44" s="66"/>
      <c r="D44" s="66"/>
      <c r="E44" s="66"/>
      <c r="F44" s="66"/>
      <c r="G44" s="66"/>
    </row>
    <row r="45" spans="1:7">
      <c r="A45" s="13"/>
      <c r="B45" s="66"/>
      <c r="C45" s="66"/>
      <c r="D45" s="66"/>
      <c r="E45" s="66"/>
      <c r="F45" s="66"/>
      <c r="G45" s="66"/>
    </row>
    <row r="46" spans="1:7">
      <c r="A46" s="13"/>
      <c r="B46" s="66"/>
      <c r="C46" s="66"/>
      <c r="D46" s="66"/>
      <c r="E46" s="66"/>
      <c r="F46" s="66"/>
      <c r="G46" s="66"/>
    </row>
    <row r="47" spans="1:7">
      <c r="A47" s="13"/>
      <c r="B47" s="66"/>
      <c r="C47" s="66"/>
      <c r="D47" s="66"/>
      <c r="E47" s="66"/>
      <c r="F47" s="66"/>
      <c r="G47" s="66"/>
    </row>
    <row r="48" spans="1:7">
      <c r="A48" s="13"/>
      <c r="B48" s="66"/>
      <c r="C48" s="66"/>
      <c r="D48" s="66"/>
      <c r="E48" s="66"/>
      <c r="F48" s="66"/>
      <c r="G48" s="66"/>
    </row>
    <row r="49" spans="1:7">
      <c r="A49" s="13"/>
      <c r="B49" s="66"/>
      <c r="C49" s="66"/>
      <c r="D49" s="66"/>
      <c r="E49" s="66"/>
      <c r="F49" s="66"/>
      <c r="G49" s="66"/>
    </row>
    <row r="50" spans="1:7">
      <c r="A50" s="13"/>
      <c r="B50" s="66"/>
      <c r="C50" s="66"/>
      <c r="D50" s="66"/>
      <c r="E50" s="66"/>
      <c r="F50" s="66"/>
      <c r="G50" s="66"/>
    </row>
    <row r="51" spans="1:7">
      <c r="A51" s="13"/>
      <c r="B51" s="66"/>
      <c r="C51" s="66"/>
      <c r="D51" s="66"/>
      <c r="E51" s="66"/>
      <c r="F51" s="66"/>
      <c r="G51" s="66"/>
    </row>
    <row r="52" spans="1:7">
      <c r="A52" s="13"/>
      <c r="B52" s="66"/>
      <c r="C52" s="66"/>
      <c r="D52" s="66"/>
      <c r="E52" s="66"/>
      <c r="F52" s="66"/>
      <c r="G52" s="66"/>
    </row>
    <row r="53" spans="1:7" ht="63" customHeight="1">
      <c r="A53" s="13"/>
      <c r="B53" s="2"/>
      <c r="C53" s="2"/>
      <c r="D53" s="2"/>
      <c r="E53" s="2"/>
      <c r="F53" s="2"/>
      <c r="G53" s="2"/>
    </row>
    <row r="54" spans="1:7">
      <c r="A54" s="13"/>
      <c r="B54" s="2"/>
      <c r="C54" s="2"/>
      <c r="D54" s="2"/>
      <c r="E54" s="69"/>
      <c r="F54" s="69"/>
      <c r="G54" s="69"/>
    </row>
    <row r="55" spans="1:7">
      <c r="A55" s="13"/>
      <c r="B55" s="2"/>
      <c r="C55" s="2"/>
      <c r="D55" s="2"/>
      <c r="E55" s="2"/>
      <c r="F55" s="2"/>
      <c r="G55" s="2"/>
    </row>
    <row r="56" spans="1:7">
      <c r="A56" s="13"/>
      <c r="B56" s="14"/>
      <c r="C56" s="14"/>
      <c r="D56" s="14"/>
      <c r="E56" s="1"/>
      <c r="F56" s="14"/>
      <c r="G56" s="3"/>
    </row>
    <row r="57" spans="1:7">
      <c r="A57" s="13"/>
      <c r="B57" s="14"/>
      <c r="C57" s="14"/>
      <c r="D57" s="14"/>
      <c r="E57" s="1"/>
      <c r="F57" s="14"/>
      <c r="G57" s="3"/>
    </row>
    <row r="58" spans="1:7">
      <c r="A58" s="13"/>
      <c r="B58" s="14"/>
      <c r="C58" s="14"/>
      <c r="D58" s="14"/>
      <c r="E58" s="1"/>
      <c r="F58" s="14"/>
      <c r="G58" s="3"/>
    </row>
    <row r="59" spans="1:7">
      <c r="A59" s="15"/>
      <c r="B59" s="15"/>
      <c r="C59" s="15"/>
      <c r="D59" s="14"/>
      <c r="E59" s="1"/>
      <c r="F59" s="14"/>
      <c r="G59" s="3"/>
    </row>
    <row r="60" spans="1:7" s="18" customFormat="1" ht="36" customHeight="1">
      <c r="A60" s="60" t="s">
        <v>37</v>
      </c>
      <c r="B60" s="60"/>
      <c r="C60" s="60"/>
      <c r="D60" s="60"/>
      <c r="E60" s="60"/>
      <c r="F60" s="60"/>
      <c r="G60" s="60"/>
    </row>
    <row r="61" spans="1:7" ht="36" customHeight="1">
      <c r="A61" s="63" t="s">
        <v>38</v>
      </c>
      <c r="B61" s="63"/>
      <c r="C61" s="28" t="s">
        <v>43</v>
      </c>
      <c r="D61" s="63" t="s">
        <v>44</v>
      </c>
      <c r="E61" s="63"/>
      <c r="F61" s="28" t="s">
        <v>45</v>
      </c>
      <c r="G61" s="28" t="s">
        <v>46</v>
      </c>
    </row>
    <row r="62" spans="1:7" ht="24" customHeight="1">
      <c r="A62" s="53" t="s">
        <v>40</v>
      </c>
      <c r="B62" s="53"/>
      <c r="C62" s="4" t="s">
        <v>55</v>
      </c>
      <c r="D62" s="22"/>
      <c r="E62" s="23" t="s">
        <v>47</v>
      </c>
      <c r="F62" s="5"/>
      <c r="G62" s="5">
        <f t="shared" ref="G62:G70" si="0">D62*F62</f>
        <v>0</v>
      </c>
    </row>
    <row r="63" spans="1:7" ht="22.5" customHeight="1">
      <c r="A63" s="53" t="s">
        <v>41</v>
      </c>
      <c r="B63" s="53"/>
      <c r="C63" s="4" t="s">
        <v>55</v>
      </c>
      <c r="D63" s="22"/>
      <c r="E63" s="23" t="s">
        <v>0</v>
      </c>
      <c r="F63" s="5"/>
      <c r="G63" s="5">
        <f t="shared" si="0"/>
        <v>0</v>
      </c>
    </row>
    <row r="64" spans="1:7" ht="38.25">
      <c r="A64" s="53" t="s">
        <v>73</v>
      </c>
      <c r="B64" s="53"/>
      <c r="C64" s="4" t="s">
        <v>68</v>
      </c>
      <c r="D64" s="22"/>
      <c r="E64" s="23" t="s">
        <v>0</v>
      </c>
      <c r="F64" s="5"/>
      <c r="G64" s="5">
        <f t="shared" si="0"/>
        <v>0</v>
      </c>
    </row>
    <row r="65" spans="1:7" ht="78.75" customHeight="1">
      <c r="A65" s="53" t="s">
        <v>1</v>
      </c>
      <c r="B65" s="53"/>
      <c r="C65" s="4" t="s">
        <v>71</v>
      </c>
      <c r="D65" s="22"/>
      <c r="E65" s="23" t="s">
        <v>47</v>
      </c>
      <c r="F65" s="5"/>
      <c r="G65" s="5">
        <f t="shared" si="0"/>
        <v>0</v>
      </c>
    </row>
    <row r="66" spans="1:7" ht="28.5" customHeight="1">
      <c r="A66" s="53" t="s">
        <v>39</v>
      </c>
      <c r="B66" s="53"/>
      <c r="C66" s="4" t="s">
        <v>82</v>
      </c>
      <c r="D66" s="22"/>
      <c r="E66" s="23" t="s">
        <v>47</v>
      </c>
      <c r="F66" s="5"/>
      <c r="G66" s="5">
        <f t="shared" si="0"/>
        <v>0</v>
      </c>
    </row>
    <row r="67" spans="1:7" ht="51">
      <c r="A67" s="53" t="s">
        <v>2</v>
      </c>
      <c r="B67" s="53"/>
      <c r="C67" s="4" t="s">
        <v>56</v>
      </c>
      <c r="D67" s="22"/>
      <c r="E67" s="23" t="s">
        <v>0</v>
      </c>
      <c r="F67" s="5"/>
      <c r="G67" s="5">
        <f t="shared" si="0"/>
        <v>0</v>
      </c>
    </row>
    <row r="68" spans="1:7" ht="39.75" customHeight="1">
      <c r="A68" s="53" t="s">
        <v>3</v>
      </c>
      <c r="B68" s="53"/>
      <c r="C68" s="4" t="s">
        <v>42</v>
      </c>
      <c r="D68" s="31"/>
      <c r="E68" s="23" t="s">
        <v>47</v>
      </c>
      <c r="F68" s="5"/>
      <c r="G68" s="5">
        <f t="shared" si="0"/>
        <v>0</v>
      </c>
    </row>
    <row r="69" spans="1:7" ht="52.5" customHeight="1">
      <c r="A69" s="53" t="s">
        <v>59</v>
      </c>
      <c r="B69" s="53"/>
      <c r="C69" s="4" t="s">
        <v>69</v>
      </c>
      <c r="D69" s="31"/>
      <c r="E69" s="23" t="s">
        <v>0</v>
      </c>
      <c r="F69" s="5"/>
      <c r="G69" s="5">
        <f t="shared" si="0"/>
        <v>0</v>
      </c>
    </row>
    <row r="70" spans="1:7" ht="38.25">
      <c r="A70" s="53" t="s">
        <v>60</v>
      </c>
      <c r="B70" s="53"/>
      <c r="C70" s="4" t="s">
        <v>62</v>
      </c>
      <c r="D70" s="31"/>
      <c r="E70" s="23" t="s">
        <v>0</v>
      </c>
      <c r="F70" s="5"/>
      <c r="G70" s="5">
        <f t="shared" si="0"/>
        <v>0</v>
      </c>
    </row>
    <row r="71" spans="1:7" ht="21.95" customHeight="1">
      <c r="A71" s="19"/>
      <c r="B71" s="19"/>
      <c r="C71" s="6"/>
      <c r="D71" s="1"/>
      <c r="E71" s="27"/>
      <c r="F71" s="7"/>
      <c r="G71" s="7"/>
    </row>
    <row r="72" spans="1:7" ht="24" customHeight="1">
      <c r="A72" s="60" t="s">
        <v>49</v>
      </c>
      <c r="B72" s="60"/>
      <c r="C72" s="60"/>
      <c r="D72" s="60"/>
      <c r="E72" s="60"/>
      <c r="F72" s="60"/>
      <c r="G72" s="60"/>
    </row>
    <row r="73" spans="1:7" ht="24" customHeight="1">
      <c r="A73" s="63" t="s">
        <v>38</v>
      </c>
      <c r="B73" s="63"/>
      <c r="C73" s="28" t="s">
        <v>48</v>
      </c>
      <c r="D73" s="63" t="s">
        <v>44</v>
      </c>
      <c r="E73" s="63"/>
      <c r="F73" s="28" t="s">
        <v>45</v>
      </c>
      <c r="G73" s="28" t="s">
        <v>46</v>
      </c>
    </row>
    <row r="74" spans="1:7" ht="26.1" customHeight="1">
      <c r="A74" s="53" t="s">
        <v>61</v>
      </c>
      <c r="B74" s="53"/>
      <c r="C74" s="71" t="s">
        <v>24</v>
      </c>
      <c r="D74" s="26">
        <v>1</v>
      </c>
      <c r="E74" s="23" t="s">
        <v>0</v>
      </c>
      <c r="F74" s="5">
        <v>2500</v>
      </c>
      <c r="G74" s="5">
        <f>D74*F74</f>
        <v>2500</v>
      </c>
    </row>
    <row r="75" spans="1:7" ht="20.100000000000001" customHeight="1">
      <c r="A75" s="53" t="s">
        <v>83</v>
      </c>
      <c r="B75" s="53"/>
      <c r="C75" s="71"/>
      <c r="D75" s="26">
        <v>1</v>
      </c>
      <c r="E75" s="23" t="s">
        <v>0</v>
      </c>
      <c r="F75" s="5">
        <v>2500</v>
      </c>
      <c r="G75" s="5">
        <f>D75*F75</f>
        <v>2500</v>
      </c>
    </row>
    <row r="76" spans="1:7" ht="20.100000000000001" customHeight="1">
      <c r="A76" s="53" t="s">
        <v>76</v>
      </c>
      <c r="B76" s="53"/>
      <c r="C76" s="71"/>
      <c r="D76" s="26"/>
      <c r="E76" s="23" t="s">
        <v>0</v>
      </c>
      <c r="F76" s="5"/>
      <c r="G76" s="5">
        <f>D76*F76</f>
        <v>0</v>
      </c>
    </row>
    <row r="77" spans="1:7" ht="20.100000000000001" customHeight="1">
      <c r="A77" s="53" t="s">
        <v>85</v>
      </c>
      <c r="B77" s="53"/>
      <c r="C77" s="71"/>
      <c r="D77" s="26">
        <v>2</v>
      </c>
      <c r="E77" s="23" t="s">
        <v>0</v>
      </c>
      <c r="F77" s="5">
        <v>750</v>
      </c>
      <c r="G77" s="5">
        <f>D77*F77</f>
        <v>1500</v>
      </c>
    </row>
    <row r="78" spans="1:7" ht="20.100000000000001" customHeight="1">
      <c r="A78" s="53" t="s">
        <v>84</v>
      </c>
      <c r="B78" s="53"/>
      <c r="C78" s="71"/>
      <c r="D78" s="26">
        <v>2</v>
      </c>
      <c r="E78" s="23" t="s">
        <v>0</v>
      </c>
      <c r="F78" s="5">
        <v>750</v>
      </c>
      <c r="G78" s="5">
        <f>D78*F78</f>
        <v>1500</v>
      </c>
    </row>
    <row r="79" spans="1:7" ht="20.100000000000001" customHeight="1">
      <c r="A79" s="24"/>
      <c r="B79" s="24"/>
      <c r="C79" s="25"/>
      <c r="D79" s="1"/>
      <c r="E79" s="27"/>
      <c r="F79" s="7"/>
      <c r="G79" s="7"/>
    </row>
    <row r="80" spans="1:7" ht="24" customHeight="1">
      <c r="A80" s="60" t="s">
        <v>53</v>
      </c>
      <c r="B80" s="60"/>
      <c r="C80" s="60"/>
      <c r="D80" s="60"/>
      <c r="E80" s="60"/>
      <c r="F80" s="60"/>
      <c r="G80" s="60"/>
    </row>
    <row r="81" spans="1:7" ht="24" customHeight="1">
      <c r="A81" s="63" t="s">
        <v>38</v>
      </c>
      <c r="B81" s="63"/>
      <c r="C81" s="28" t="s">
        <v>48</v>
      </c>
      <c r="D81" s="63" t="s">
        <v>44</v>
      </c>
      <c r="E81" s="63"/>
      <c r="F81" s="28" t="s">
        <v>45</v>
      </c>
      <c r="G81" s="28" t="s">
        <v>46</v>
      </c>
    </row>
    <row r="82" spans="1:7" ht="18" customHeight="1">
      <c r="A82" s="53" t="s">
        <v>4</v>
      </c>
      <c r="B82" s="53"/>
      <c r="C82" s="72" t="s">
        <v>5</v>
      </c>
      <c r="D82" s="26"/>
      <c r="E82" s="23" t="s">
        <v>0</v>
      </c>
      <c r="F82" s="5"/>
      <c r="G82" s="5">
        <f>D82*F82</f>
        <v>0</v>
      </c>
    </row>
    <row r="83" spans="1:7" ht="18" customHeight="1">
      <c r="A83" s="53" t="s">
        <v>6</v>
      </c>
      <c r="B83" s="53"/>
      <c r="C83" s="72"/>
      <c r="D83" s="26">
        <v>2</v>
      </c>
      <c r="E83" s="23" t="s">
        <v>0</v>
      </c>
      <c r="F83" s="5">
        <v>525</v>
      </c>
      <c r="G83" s="5">
        <f t="shared" ref="G83:G89" si="1">D83*F83</f>
        <v>1050</v>
      </c>
    </row>
    <row r="84" spans="1:7" ht="18" customHeight="1">
      <c r="A84" s="53" t="s">
        <v>79</v>
      </c>
      <c r="B84" s="53"/>
      <c r="C84" s="72"/>
      <c r="D84" s="26"/>
      <c r="E84" s="23" t="s">
        <v>0</v>
      </c>
      <c r="F84" s="5"/>
      <c r="G84" s="5">
        <f t="shared" si="1"/>
        <v>0</v>
      </c>
    </row>
    <row r="85" spans="1:7" ht="18" customHeight="1">
      <c r="A85" s="53" t="s">
        <v>7</v>
      </c>
      <c r="B85" s="53"/>
      <c r="C85" s="72"/>
      <c r="D85" s="26"/>
      <c r="E85" s="23" t="s">
        <v>0</v>
      </c>
      <c r="F85" s="5"/>
      <c r="G85" s="5">
        <f t="shared" si="1"/>
        <v>0</v>
      </c>
    </row>
    <row r="86" spans="1:7" ht="18" customHeight="1">
      <c r="A86" s="53" t="s">
        <v>8</v>
      </c>
      <c r="B86" s="53"/>
      <c r="C86" s="72"/>
      <c r="D86" s="26"/>
      <c r="E86" s="23" t="s">
        <v>0</v>
      </c>
      <c r="F86" s="5"/>
      <c r="G86" s="5">
        <f t="shared" si="1"/>
        <v>0</v>
      </c>
    </row>
    <row r="87" spans="1:7" ht="18" customHeight="1">
      <c r="A87" s="53" t="s">
        <v>9</v>
      </c>
      <c r="B87" s="53"/>
      <c r="C87" s="72"/>
      <c r="D87" s="26">
        <v>2</v>
      </c>
      <c r="E87" s="23" t="s">
        <v>0</v>
      </c>
      <c r="F87" s="5">
        <v>400</v>
      </c>
      <c r="G87" s="5">
        <f t="shared" si="1"/>
        <v>800</v>
      </c>
    </row>
    <row r="88" spans="1:7" ht="18" customHeight="1">
      <c r="A88" s="53" t="s">
        <v>10</v>
      </c>
      <c r="B88" s="53"/>
      <c r="C88" s="72"/>
      <c r="D88" s="26">
        <v>2</v>
      </c>
      <c r="E88" s="23" t="s">
        <v>0</v>
      </c>
      <c r="F88" s="5">
        <v>400</v>
      </c>
      <c r="G88" s="5">
        <f t="shared" si="1"/>
        <v>800</v>
      </c>
    </row>
    <row r="89" spans="1:7" ht="18" customHeight="1">
      <c r="A89" s="53" t="s">
        <v>86</v>
      </c>
      <c r="B89" s="53"/>
      <c r="C89" s="72"/>
      <c r="D89" s="26">
        <v>2</v>
      </c>
      <c r="E89" s="23" t="s">
        <v>0</v>
      </c>
      <c r="F89" s="5">
        <v>400</v>
      </c>
      <c r="G89" s="5">
        <f t="shared" si="1"/>
        <v>800</v>
      </c>
    </row>
    <row r="90" spans="1:7" ht="68.099999999999994" customHeight="1">
      <c r="A90" s="13"/>
      <c r="B90" s="14"/>
      <c r="C90" s="14"/>
      <c r="D90" s="14"/>
      <c r="E90" s="1"/>
      <c r="F90" s="14"/>
      <c r="G90" s="3"/>
    </row>
    <row r="91" spans="1:7" ht="21" customHeight="1">
      <c r="A91" s="13"/>
      <c r="B91" s="14"/>
      <c r="C91" s="14"/>
      <c r="D91" s="14"/>
      <c r="E91" s="1"/>
      <c r="F91" s="14"/>
      <c r="G91" s="3"/>
    </row>
    <row r="92" spans="1:7" ht="21.95" customHeight="1">
      <c r="A92" s="60" t="s">
        <v>54</v>
      </c>
      <c r="B92" s="60"/>
      <c r="C92" s="60"/>
      <c r="D92" s="60"/>
      <c r="E92" s="60"/>
      <c r="F92" s="60"/>
      <c r="G92" s="60"/>
    </row>
    <row r="93" spans="1:7" ht="21.95" customHeight="1">
      <c r="A93" s="63" t="s">
        <v>38</v>
      </c>
      <c r="B93" s="63"/>
      <c r="C93" s="28" t="s">
        <v>48</v>
      </c>
      <c r="D93" s="63" t="s">
        <v>44</v>
      </c>
      <c r="E93" s="63"/>
      <c r="F93" s="28" t="s">
        <v>45</v>
      </c>
      <c r="G93" s="28" t="s">
        <v>46</v>
      </c>
    </row>
    <row r="94" spans="1:7" ht="17.100000000000001" customHeight="1">
      <c r="A94" s="53" t="s">
        <v>11</v>
      </c>
      <c r="B94" s="53"/>
      <c r="C94" s="61" t="s">
        <v>12</v>
      </c>
      <c r="D94" s="22"/>
      <c r="E94" s="23" t="s">
        <v>0</v>
      </c>
      <c r="F94" s="5"/>
      <c r="G94" s="5">
        <f>D94*F94</f>
        <v>0</v>
      </c>
    </row>
    <row r="95" spans="1:7" ht="17.100000000000001" customHeight="1">
      <c r="A95" s="53" t="s">
        <v>13</v>
      </c>
      <c r="B95" s="53"/>
      <c r="C95" s="61"/>
      <c r="D95" s="22"/>
      <c r="E95" s="23" t="s">
        <v>0</v>
      </c>
      <c r="F95" s="5"/>
      <c r="G95" s="5">
        <f t="shared" ref="G95:G107" si="2">D95*F95</f>
        <v>0</v>
      </c>
    </row>
    <row r="96" spans="1:7" ht="17.100000000000001" customHeight="1">
      <c r="A96" s="53" t="s">
        <v>14</v>
      </c>
      <c r="B96" s="53"/>
      <c r="C96" s="61"/>
      <c r="D96" s="22"/>
      <c r="E96" s="23" t="s">
        <v>0</v>
      </c>
      <c r="F96" s="5"/>
      <c r="G96" s="5">
        <f t="shared" si="2"/>
        <v>0</v>
      </c>
    </row>
    <row r="97" spans="1:7" ht="17.100000000000001" customHeight="1">
      <c r="A97" s="53" t="s">
        <v>15</v>
      </c>
      <c r="B97" s="53"/>
      <c r="C97" s="61"/>
      <c r="D97" s="22"/>
      <c r="E97" s="23" t="s">
        <v>0</v>
      </c>
      <c r="F97" s="5"/>
      <c r="G97" s="5">
        <f t="shared" si="2"/>
        <v>0</v>
      </c>
    </row>
    <row r="98" spans="1:7" ht="17.100000000000001" customHeight="1">
      <c r="A98" s="53" t="s">
        <v>16</v>
      </c>
      <c r="B98" s="53"/>
      <c r="C98" s="61"/>
      <c r="D98" s="22"/>
      <c r="E98" s="23" t="s">
        <v>0</v>
      </c>
      <c r="F98" s="5"/>
      <c r="G98" s="5">
        <f t="shared" si="2"/>
        <v>0</v>
      </c>
    </row>
    <row r="99" spans="1:7" ht="17.100000000000001" customHeight="1">
      <c r="A99" s="53" t="s">
        <v>17</v>
      </c>
      <c r="B99" s="53"/>
      <c r="C99" s="61"/>
      <c r="D99" s="22"/>
      <c r="E99" s="23" t="s">
        <v>0</v>
      </c>
      <c r="F99" s="5"/>
      <c r="G99" s="5">
        <f t="shared" si="2"/>
        <v>0</v>
      </c>
    </row>
    <row r="100" spans="1:7" ht="17.100000000000001" customHeight="1">
      <c r="A100" s="53" t="s">
        <v>18</v>
      </c>
      <c r="B100" s="53"/>
      <c r="C100" s="61"/>
      <c r="D100" s="22"/>
      <c r="E100" s="23" t="s">
        <v>0</v>
      </c>
      <c r="F100" s="5"/>
      <c r="G100" s="5">
        <f t="shared" si="2"/>
        <v>0</v>
      </c>
    </row>
    <row r="101" spans="1:7" ht="17.100000000000001" customHeight="1">
      <c r="A101" s="53" t="s">
        <v>19</v>
      </c>
      <c r="B101" s="53"/>
      <c r="C101" s="61"/>
      <c r="D101" s="22"/>
      <c r="E101" s="23" t="s">
        <v>0</v>
      </c>
      <c r="F101" s="5"/>
      <c r="G101" s="5">
        <f t="shared" si="2"/>
        <v>0</v>
      </c>
    </row>
    <row r="102" spans="1:7" ht="17.100000000000001" customHeight="1">
      <c r="A102" s="53" t="s">
        <v>20</v>
      </c>
      <c r="B102" s="53"/>
      <c r="C102" s="61"/>
      <c r="D102" s="22"/>
      <c r="E102" s="23" t="s">
        <v>0</v>
      </c>
      <c r="F102" s="5"/>
      <c r="G102" s="5">
        <f t="shared" si="2"/>
        <v>0</v>
      </c>
    </row>
    <row r="103" spans="1:7" ht="17.100000000000001" customHeight="1">
      <c r="A103" s="53" t="s">
        <v>21</v>
      </c>
      <c r="B103" s="53"/>
      <c r="C103" s="61"/>
      <c r="D103" s="22"/>
      <c r="E103" s="23" t="s">
        <v>0</v>
      </c>
      <c r="F103" s="5"/>
      <c r="G103" s="5">
        <f t="shared" si="2"/>
        <v>0</v>
      </c>
    </row>
    <row r="104" spans="1:7" ht="17.100000000000001" customHeight="1">
      <c r="A104" s="53" t="s">
        <v>22</v>
      </c>
      <c r="B104" s="53"/>
      <c r="C104" s="61"/>
      <c r="D104" s="22"/>
      <c r="E104" s="23" t="s">
        <v>0</v>
      </c>
      <c r="F104" s="5"/>
      <c r="G104" s="5">
        <f t="shared" si="2"/>
        <v>0</v>
      </c>
    </row>
    <row r="105" spans="1:7" ht="17.100000000000001" customHeight="1">
      <c r="A105" s="53" t="s">
        <v>77</v>
      </c>
      <c r="B105" s="53"/>
      <c r="C105" s="61"/>
      <c r="D105" s="22"/>
      <c r="E105" s="23" t="s">
        <v>0</v>
      </c>
      <c r="F105" s="5"/>
      <c r="G105" s="5">
        <f t="shared" si="2"/>
        <v>0</v>
      </c>
    </row>
    <row r="106" spans="1:7" ht="17.100000000000001" customHeight="1">
      <c r="A106" s="53" t="s">
        <v>23</v>
      </c>
      <c r="B106" s="53"/>
      <c r="C106" s="61"/>
      <c r="D106" s="22"/>
      <c r="E106" s="23" t="s">
        <v>0</v>
      </c>
      <c r="F106" s="5"/>
      <c r="G106" s="5">
        <f t="shared" si="2"/>
        <v>0</v>
      </c>
    </row>
    <row r="107" spans="1:7" ht="17.100000000000001" customHeight="1">
      <c r="A107" s="53" t="s">
        <v>74</v>
      </c>
      <c r="B107" s="53"/>
      <c r="C107" s="61"/>
      <c r="D107" s="22"/>
      <c r="E107" s="23" t="s">
        <v>0</v>
      </c>
      <c r="F107" s="5"/>
      <c r="G107" s="5">
        <f t="shared" si="2"/>
        <v>0</v>
      </c>
    </row>
    <row r="108" spans="1:7" ht="20.100000000000001" customHeight="1">
      <c r="A108" s="24"/>
      <c r="B108" s="24"/>
      <c r="C108" s="8"/>
      <c r="D108" s="1"/>
      <c r="E108" s="14"/>
      <c r="F108" s="7"/>
      <c r="G108" s="7"/>
    </row>
    <row r="109" spans="1:7" ht="21.95" customHeight="1">
      <c r="A109" s="60" t="s">
        <v>63</v>
      </c>
      <c r="B109" s="60"/>
      <c r="C109" s="60"/>
      <c r="D109" s="60"/>
      <c r="E109" s="60"/>
      <c r="F109" s="60"/>
      <c r="G109" s="60"/>
    </row>
    <row r="110" spans="1:7" ht="21.95" customHeight="1">
      <c r="A110" s="63" t="s">
        <v>38</v>
      </c>
      <c r="B110" s="63"/>
      <c r="C110" s="32" t="s">
        <v>48</v>
      </c>
      <c r="D110" s="63" t="s">
        <v>44</v>
      </c>
      <c r="E110" s="63"/>
      <c r="F110" s="32" t="s">
        <v>45</v>
      </c>
      <c r="G110" s="32" t="s">
        <v>46</v>
      </c>
    </row>
    <row r="111" spans="1:7" ht="17.100000000000001" customHeight="1">
      <c r="A111" s="53" t="s">
        <v>64</v>
      </c>
      <c r="B111" s="53"/>
      <c r="C111" s="54" t="s">
        <v>5</v>
      </c>
      <c r="D111" s="33"/>
      <c r="E111" s="34" t="s">
        <v>0</v>
      </c>
      <c r="F111" s="35"/>
      <c r="G111" s="35">
        <f t="shared" ref="G111:G118" si="3">D111*F111</f>
        <v>0</v>
      </c>
    </row>
    <row r="112" spans="1:7" ht="17.100000000000001" customHeight="1">
      <c r="A112" s="53" t="s">
        <v>65</v>
      </c>
      <c r="B112" s="53"/>
      <c r="C112" s="55"/>
      <c r="D112" s="33"/>
      <c r="E112" s="34" t="s">
        <v>0</v>
      </c>
      <c r="F112" s="35"/>
      <c r="G112" s="35">
        <f t="shared" si="3"/>
        <v>0</v>
      </c>
    </row>
    <row r="113" spans="1:7" ht="17.100000000000001" customHeight="1">
      <c r="A113" s="53" t="s">
        <v>66</v>
      </c>
      <c r="B113" s="53"/>
      <c r="C113" s="55"/>
      <c r="D113" s="33">
        <v>104</v>
      </c>
      <c r="E113" s="34" t="s">
        <v>0</v>
      </c>
      <c r="F113" s="35">
        <v>60</v>
      </c>
      <c r="G113" s="35">
        <f t="shared" si="3"/>
        <v>6240</v>
      </c>
    </row>
    <row r="114" spans="1:7" ht="17.100000000000001" customHeight="1">
      <c r="A114" s="53" t="s">
        <v>51</v>
      </c>
      <c r="B114" s="53"/>
      <c r="C114" s="55"/>
      <c r="D114" s="33"/>
      <c r="E114" s="34" t="s">
        <v>0</v>
      </c>
      <c r="F114" s="35"/>
      <c r="G114" s="35">
        <f t="shared" si="3"/>
        <v>0</v>
      </c>
    </row>
    <row r="115" spans="1:7" ht="17.100000000000001" customHeight="1">
      <c r="A115" s="53" t="s">
        <v>67</v>
      </c>
      <c r="B115" s="53"/>
      <c r="C115" s="55"/>
      <c r="D115" s="33"/>
      <c r="E115" s="34" t="s">
        <v>0</v>
      </c>
      <c r="F115" s="35"/>
      <c r="G115" s="35">
        <f t="shared" si="3"/>
        <v>0</v>
      </c>
    </row>
    <row r="116" spans="1:7" ht="17.100000000000001" customHeight="1">
      <c r="A116" s="53" t="s">
        <v>78</v>
      </c>
      <c r="B116" s="53"/>
      <c r="C116" s="55"/>
      <c r="D116" s="33"/>
      <c r="E116" s="34" t="s">
        <v>0</v>
      </c>
      <c r="F116" s="35"/>
      <c r="G116" s="35">
        <f t="shared" si="3"/>
        <v>0</v>
      </c>
    </row>
    <row r="117" spans="1:7" ht="17.100000000000001" customHeight="1">
      <c r="A117" s="53"/>
      <c r="B117" s="53"/>
      <c r="C117" s="55"/>
      <c r="D117" s="33"/>
      <c r="E117" s="34" t="s">
        <v>0</v>
      </c>
      <c r="F117" s="35"/>
      <c r="G117" s="35">
        <f t="shared" si="3"/>
        <v>0</v>
      </c>
    </row>
    <row r="118" spans="1:7" ht="17.100000000000001" customHeight="1">
      <c r="A118" s="53"/>
      <c r="B118" s="53"/>
      <c r="C118" s="56"/>
      <c r="D118" s="33"/>
      <c r="E118" s="34" t="s">
        <v>0</v>
      </c>
      <c r="F118" s="35"/>
      <c r="G118" s="35">
        <f t="shared" si="3"/>
        <v>0</v>
      </c>
    </row>
    <row r="119" spans="1:7" ht="20.100000000000001" customHeight="1">
      <c r="A119" s="24"/>
      <c r="B119" s="24"/>
      <c r="C119" s="25"/>
      <c r="D119" s="1"/>
      <c r="E119" s="14"/>
      <c r="F119" s="7"/>
      <c r="G119" s="7"/>
    </row>
    <row r="120" spans="1:7" ht="21.95" customHeight="1">
      <c r="A120" s="60" t="s">
        <v>52</v>
      </c>
      <c r="B120" s="60"/>
      <c r="C120" s="60"/>
      <c r="D120" s="60"/>
      <c r="E120" s="60"/>
      <c r="F120" s="60"/>
      <c r="G120" s="60"/>
    </row>
    <row r="121" spans="1:7" ht="21.95" customHeight="1">
      <c r="A121" s="63" t="s">
        <v>38</v>
      </c>
      <c r="B121" s="63"/>
      <c r="C121" s="28" t="s">
        <v>48</v>
      </c>
      <c r="D121" s="63" t="s">
        <v>44</v>
      </c>
      <c r="E121" s="63"/>
      <c r="F121" s="28" t="s">
        <v>45</v>
      </c>
      <c r="G121" s="28" t="s">
        <v>46</v>
      </c>
    </row>
    <row r="122" spans="1:7" ht="18.95" customHeight="1">
      <c r="A122" s="57" t="s">
        <v>25</v>
      </c>
      <c r="B122" s="58"/>
      <c r="C122" s="61" t="s">
        <v>5</v>
      </c>
      <c r="D122" s="22">
        <v>2</v>
      </c>
      <c r="E122" s="23" t="s">
        <v>0</v>
      </c>
      <c r="F122" s="5">
        <v>3000</v>
      </c>
      <c r="G122" s="5">
        <f t="shared" ref="G122:G124" si="4">D122*F122</f>
        <v>6000</v>
      </c>
    </row>
    <row r="123" spans="1:7" ht="18.95" customHeight="1">
      <c r="A123" s="57" t="s">
        <v>26</v>
      </c>
      <c r="B123" s="58"/>
      <c r="C123" s="61"/>
      <c r="D123" s="22"/>
      <c r="E123" s="23" t="s">
        <v>0</v>
      </c>
      <c r="F123" s="5"/>
      <c r="G123" s="5">
        <f t="shared" si="4"/>
        <v>0</v>
      </c>
    </row>
    <row r="124" spans="1:7" ht="18.95" customHeight="1">
      <c r="A124" s="57" t="s">
        <v>75</v>
      </c>
      <c r="B124" s="58"/>
      <c r="C124" s="61"/>
      <c r="D124" s="22"/>
      <c r="E124" s="23" t="s">
        <v>0</v>
      </c>
      <c r="F124" s="5"/>
      <c r="G124" s="5">
        <f t="shared" si="4"/>
        <v>0</v>
      </c>
    </row>
    <row r="125" spans="1:7" ht="18.95" customHeight="1">
      <c r="A125" s="24"/>
      <c r="B125" s="24"/>
      <c r="C125" s="8"/>
      <c r="D125" s="1"/>
      <c r="E125" s="62" t="s">
        <v>80</v>
      </c>
      <c r="F125" s="62"/>
      <c r="G125" s="30">
        <f>G124+G123+G122+G78+G77+G76+G75+G74+G111+G107+G106+G105+G104+G103+G102+G101+G100+G99+G98+G97+G96+G95+G94+G89+G88+G87+G86+G85+G84+G83+G82+G68+G67+G66+G65+G64+G63+G62+G113+G112+G114+G115+G116+G117+G118+G69+G70</f>
        <v>23690</v>
      </c>
    </row>
    <row r="130" spans="1:7" ht="115.5" customHeight="1"/>
    <row r="132" spans="1:7">
      <c r="A132" s="13"/>
      <c r="B132" s="14"/>
      <c r="C132" s="14"/>
      <c r="D132" s="14"/>
      <c r="E132" s="1"/>
      <c r="F132" s="14"/>
      <c r="G132" s="3"/>
    </row>
    <row r="133" spans="1:7">
      <c r="A133" s="13"/>
      <c r="B133" s="14"/>
      <c r="C133" s="14"/>
      <c r="D133" s="14"/>
      <c r="E133" s="1"/>
      <c r="F133" s="14"/>
      <c r="G133" s="3"/>
    </row>
    <row r="134" spans="1:7">
      <c r="A134" s="13"/>
      <c r="B134" s="14"/>
      <c r="C134" s="14"/>
      <c r="D134" s="14"/>
      <c r="E134" s="1"/>
      <c r="F134" s="14"/>
      <c r="G134" s="3"/>
    </row>
    <row r="135" spans="1:7">
      <c r="A135" s="13"/>
      <c r="B135" s="14"/>
      <c r="C135" s="14"/>
      <c r="D135" s="14"/>
      <c r="E135" s="1"/>
      <c r="F135" s="14"/>
      <c r="G135" s="3"/>
    </row>
    <row r="136" spans="1:7">
      <c r="A136" s="13"/>
      <c r="B136" s="14"/>
      <c r="C136" s="14"/>
      <c r="D136" s="14"/>
      <c r="E136" s="1"/>
      <c r="F136" s="14"/>
      <c r="G136" s="3"/>
    </row>
    <row r="137" spans="1:7">
      <c r="A137" s="13"/>
      <c r="B137" s="14"/>
      <c r="C137" s="14"/>
      <c r="D137" s="14"/>
      <c r="E137" s="1"/>
      <c r="F137" s="14"/>
      <c r="G137" s="3"/>
    </row>
    <row r="138" spans="1:7">
      <c r="A138" s="13"/>
      <c r="B138" s="14"/>
      <c r="C138" s="14"/>
      <c r="D138" s="14"/>
      <c r="E138" s="1"/>
      <c r="F138" s="14"/>
      <c r="G138" s="3"/>
    </row>
    <row r="139" spans="1:7">
      <c r="A139" s="13"/>
      <c r="B139" s="14"/>
      <c r="C139" s="14"/>
      <c r="D139" s="14"/>
      <c r="E139" s="1"/>
      <c r="F139" s="14"/>
      <c r="G139" s="3"/>
    </row>
    <row r="140" spans="1:7">
      <c r="A140" s="13"/>
      <c r="B140" s="14"/>
      <c r="C140" s="14"/>
      <c r="D140" s="14"/>
      <c r="E140" s="1"/>
      <c r="F140" s="14"/>
      <c r="G140" s="3"/>
    </row>
    <row r="141" spans="1:7">
      <c r="A141" s="13"/>
      <c r="B141" s="14"/>
      <c r="C141" s="14"/>
      <c r="D141" s="14"/>
      <c r="E141" s="1"/>
      <c r="F141" s="14"/>
      <c r="G141" s="3"/>
    </row>
    <row r="142" spans="1:7">
      <c r="A142" s="13"/>
      <c r="B142" s="14"/>
      <c r="C142" s="14"/>
      <c r="D142" s="14"/>
      <c r="E142" s="1"/>
      <c r="F142" s="14"/>
      <c r="G142" s="3"/>
    </row>
    <row r="143" spans="1:7">
      <c r="A143" s="13"/>
      <c r="B143" s="14"/>
      <c r="C143" s="14"/>
      <c r="D143" s="14"/>
      <c r="E143" s="1"/>
      <c r="F143" s="14"/>
      <c r="G143" s="3"/>
    </row>
    <row r="144" spans="1:7">
      <c r="A144" s="13"/>
      <c r="B144" s="14"/>
      <c r="C144" s="14"/>
      <c r="D144" s="14"/>
      <c r="E144" s="1"/>
      <c r="F144" s="14"/>
      <c r="G144" s="3"/>
    </row>
    <row r="145" spans="1:7">
      <c r="A145" s="13"/>
      <c r="B145" s="14"/>
      <c r="C145" s="14"/>
      <c r="D145" s="14"/>
      <c r="E145" s="1"/>
      <c r="F145" s="14"/>
      <c r="G145" s="3"/>
    </row>
    <row r="146" spans="1:7">
      <c r="A146" s="13"/>
      <c r="B146" s="14"/>
      <c r="C146" s="14"/>
      <c r="D146" s="14"/>
      <c r="E146" s="1"/>
      <c r="F146" s="14"/>
      <c r="G146" s="3"/>
    </row>
    <row r="147" spans="1:7">
      <c r="A147" s="13"/>
      <c r="B147" s="14"/>
      <c r="C147" s="14"/>
      <c r="D147" s="14"/>
      <c r="E147" s="1"/>
      <c r="F147" s="14"/>
      <c r="G147" s="3"/>
    </row>
    <row r="148" spans="1:7">
      <c r="A148" s="13"/>
      <c r="B148" s="14"/>
      <c r="C148" s="14"/>
      <c r="D148" s="14"/>
      <c r="E148" s="1"/>
      <c r="F148" s="14"/>
      <c r="G148" s="3"/>
    </row>
    <row r="149" spans="1:7">
      <c r="A149" s="13"/>
      <c r="B149" s="14"/>
      <c r="C149" s="14"/>
      <c r="D149" s="14"/>
      <c r="E149" s="1"/>
      <c r="F149" s="14"/>
      <c r="G149" s="3"/>
    </row>
    <row r="150" spans="1:7">
      <c r="A150" s="13"/>
      <c r="B150" s="14"/>
      <c r="C150" s="14"/>
      <c r="D150" s="14"/>
      <c r="E150" s="1"/>
      <c r="F150" s="14"/>
      <c r="G150" s="3"/>
    </row>
    <row r="151" spans="1:7">
      <c r="A151" s="13"/>
      <c r="B151" s="14"/>
      <c r="C151" s="14"/>
      <c r="D151" s="14"/>
      <c r="E151" s="1"/>
      <c r="F151" s="14"/>
      <c r="G151" s="3"/>
    </row>
    <row r="152" spans="1:7">
      <c r="A152" s="13"/>
      <c r="B152" s="14"/>
      <c r="C152" s="14"/>
      <c r="D152" s="14"/>
      <c r="E152" s="1"/>
      <c r="F152" s="14"/>
      <c r="G152" s="3"/>
    </row>
    <row r="153" spans="1:7">
      <c r="A153" s="13"/>
      <c r="B153" s="14"/>
      <c r="C153" s="14"/>
      <c r="D153" s="14"/>
      <c r="E153" s="1"/>
      <c r="F153" s="14"/>
      <c r="G153" s="3"/>
    </row>
    <row r="154" spans="1:7">
      <c r="A154" s="13"/>
      <c r="B154" s="14"/>
      <c r="C154" s="14"/>
      <c r="D154" s="14"/>
      <c r="E154" s="1"/>
      <c r="F154" s="14"/>
      <c r="G154" s="3"/>
    </row>
    <row r="155" spans="1:7">
      <c r="A155" s="13"/>
      <c r="B155" s="14"/>
      <c r="C155" s="14"/>
      <c r="D155" s="14"/>
      <c r="E155" s="1"/>
      <c r="F155" s="14"/>
      <c r="G155" s="3"/>
    </row>
    <row r="156" spans="1:7">
      <c r="A156" s="13"/>
      <c r="B156" s="14"/>
      <c r="C156" s="14"/>
      <c r="D156" s="14"/>
      <c r="E156" s="1"/>
      <c r="F156" s="14"/>
      <c r="G156" s="3"/>
    </row>
    <row r="157" spans="1:7">
      <c r="A157" s="13"/>
      <c r="B157" s="14"/>
      <c r="C157" s="14"/>
      <c r="D157" s="14"/>
      <c r="E157" s="1"/>
      <c r="F157" s="14"/>
      <c r="G157" s="3"/>
    </row>
    <row r="158" spans="1:7">
      <c r="A158" s="13"/>
      <c r="B158" s="14"/>
      <c r="C158" s="14"/>
      <c r="D158" s="14"/>
      <c r="E158" s="1"/>
      <c r="F158" s="14"/>
      <c r="G158" s="3"/>
    </row>
    <row r="159" spans="1:7">
      <c r="A159" s="13"/>
      <c r="B159" s="14"/>
      <c r="C159" s="14"/>
      <c r="D159" s="14"/>
      <c r="E159" s="1"/>
      <c r="F159" s="14"/>
      <c r="G159" s="3"/>
    </row>
    <row r="160" spans="1:7">
      <c r="A160" s="13"/>
      <c r="B160" s="14"/>
      <c r="C160" s="14"/>
      <c r="D160" s="14"/>
      <c r="E160" s="1"/>
      <c r="F160" s="14"/>
      <c r="G160" s="3"/>
    </row>
    <row r="161" spans="1:7">
      <c r="A161" s="13"/>
      <c r="B161" s="14"/>
      <c r="C161" s="14"/>
      <c r="D161" s="14"/>
      <c r="E161" s="1"/>
      <c r="F161" s="14"/>
      <c r="G161" s="3"/>
    </row>
    <row r="162" spans="1:7">
      <c r="A162" s="13"/>
      <c r="B162" s="14"/>
      <c r="C162" s="14"/>
      <c r="D162" s="14"/>
      <c r="E162" s="1"/>
      <c r="F162" s="14"/>
      <c r="G162" s="3"/>
    </row>
    <row r="163" spans="1:7">
      <c r="A163" s="13"/>
      <c r="B163" s="14"/>
      <c r="C163" s="14"/>
      <c r="D163" s="14"/>
      <c r="E163" s="1"/>
      <c r="F163" s="14"/>
      <c r="G163" s="3"/>
    </row>
    <row r="164" spans="1:7">
      <c r="A164" s="13"/>
      <c r="B164" s="14"/>
      <c r="C164" s="14"/>
      <c r="D164" s="14"/>
      <c r="E164" s="1"/>
      <c r="F164" s="14"/>
      <c r="G164" s="3"/>
    </row>
    <row r="165" spans="1:7">
      <c r="A165" s="13"/>
      <c r="B165" s="14"/>
      <c r="C165" s="14"/>
      <c r="D165" s="14"/>
      <c r="E165" s="1"/>
      <c r="F165" s="14"/>
      <c r="G165" s="3"/>
    </row>
    <row r="166" spans="1:7">
      <c r="A166" s="13"/>
      <c r="B166" s="14"/>
      <c r="C166" s="14"/>
      <c r="D166" s="14"/>
      <c r="E166" s="1"/>
      <c r="F166" s="14"/>
      <c r="G166" s="3"/>
    </row>
    <row r="167" spans="1:7">
      <c r="A167" s="13"/>
      <c r="B167" s="14"/>
      <c r="C167" s="14"/>
      <c r="D167" s="14"/>
      <c r="E167" s="1"/>
      <c r="F167" s="14"/>
      <c r="G167" s="3"/>
    </row>
    <row r="168" spans="1:7">
      <c r="A168" s="13"/>
      <c r="B168" s="14"/>
      <c r="C168" s="14"/>
      <c r="D168" s="14"/>
      <c r="E168" s="1"/>
      <c r="F168" s="14"/>
      <c r="G168" s="3"/>
    </row>
    <row r="169" spans="1:7">
      <c r="A169" s="13"/>
      <c r="B169" s="14"/>
      <c r="C169" s="14"/>
      <c r="D169" s="14"/>
      <c r="E169" s="1"/>
      <c r="F169" s="14"/>
      <c r="G169" s="3"/>
    </row>
    <row r="170" spans="1:7">
      <c r="A170" s="13"/>
      <c r="B170" s="14"/>
      <c r="C170" s="14"/>
      <c r="D170" s="14"/>
      <c r="E170" s="1"/>
      <c r="F170" s="14"/>
      <c r="G170" s="3"/>
    </row>
    <row r="171" spans="1:7">
      <c r="A171" s="13"/>
      <c r="B171" s="14"/>
      <c r="C171" s="14"/>
      <c r="D171" s="14"/>
      <c r="E171" s="1"/>
      <c r="F171" s="14"/>
      <c r="G171" s="3"/>
    </row>
    <row r="172" spans="1:7">
      <c r="A172" s="13"/>
      <c r="B172" s="14"/>
      <c r="C172" s="14"/>
      <c r="D172" s="14"/>
      <c r="E172" s="1"/>
      <c r="F172" s="14"/>
      <c r="G172" s="3"/>
    </row>
    <row r="173" spans="1:7">
      <c r="A173" s="13"/>
      <c r="B173" s="14"/>
      <c r="C173" s="14"/>
      <c r="D173" s="14"/>
      <c r="E173" s="1"/>
      <c r="F173" s="14"/>
      <c r="G173" s="3"/>
    </row>
    <row r="174" spans="1:7">
      <c r="A174" s="13"/>
      <c r="B174" s="14"/>
      <c r="C174" s="14"/>
      <c r="D174" s="14"/>
      <c r="E174" s="1"/>
      <c r="F174" s="14"/>
      <c r="G174" s="3"/>
    </row>
    <row r="175" spans="1:7">
      <c r="A175" s="13"/>
      <c r="B175" s="14"/>
      <c r="C175" s="14"/>
      <c r="D175" s="14"/>
      <c r="E175" s="1"/>
      <c r="F175" s="14"/>
      <c r="G175" s="3"/>
    </row>
    <row r="176" spans="1:7">
      <c r="A176" s="13"/>
      <c r="B176" s="14"/>
      <c r="C176" s="14"/>
      <c r="D176" s="14"/>
      <c r="E176" s="1"/>
      <c r="F176" s="14"/>
      <c r="G176" s="3"/>
    </row>
    <row r="177" spans="1:7">
      <c r="A177" s="13"/>
      <c r="B177" s="14"/>
      <c r="C177" s="14"/>
      <c r="D177" s="14"/>
      <c r="E177" s="1"/>
      <c r="F177" s="14"/>
      <c r="G177" s="3"/>
    </row>
    <row r="178" spans="1:7">
      <c r="A178" s="13"/>
      <c r="B178" s="14"/>
      <c r="C178" s="14"/>
      <c r="D178" s="14"/>
      <c r="E178" s="1"/>
      <c r="F178" s="14"/>
      <c r="G178" s="3"/>
    </row>
    <row r="179" spans="1:7">
      <c r="A179" s="13"/>
      <c r="B179" s="14"/>
      <c r="C179" s="14"/>
      <c r="D179" s="14"/>
      <c r="E179" s="1"/>
      <c r="F179" s="14"/>
      <c r="G179" s="3"/>
    </row>
    <row r="180" spans="1:7">
      <c r="A180" s="13"/>
      <c r="B180" s="14"/>
      <c r="C180" s="14"/>
      <c r="D180" s="14"/>
      <c r="E180" s="1"/>
      <c r="F180" s="14"/>
      <c r="G180" s="3"/>
    </row>
    <row r="181" spans="1:7" ht="21" customHeight="1">
      <c r="A181" s="59" t="s">
        <v>50</v>
      </c>
      <c r="B181" s="59"/>
      <c r="C181" s="59"/>
      <c r="D181" s="59"/>
      <c r="E181" s="59"/>
      <c r="F181" s="59"/>
      <c r="G181" s="59"/>
    </row>
    <row r="182" spans="1:7" ht="15.95" customHeight="1">
      <c r="A182" s="51" t="s">
        <v>27</v>
      </c>
      <c r="B182" s="51"/>
      <c r="C182" s="51"/>
      <c r="D182" s="51" t="s">
        <v>28</v>
      </c>
      <c r="E182" s="52"/>
      <c r="F182" s="52"/>
      <c r="G182" s="52"/>
    </row>
    <row r="183" spans="1:7">
      <c r="A183" s="49"/>
      <c r="B183" s="49"/>
      <c r="C183" s="49"/>
      <c r="D183" s="50"/>
      <c r="E183" s="50"/>
      <c r="F183" s="50"/>
      <c r="G183" s="50"/>
    </row>
    <row r="184" spans="1:7">
      <c r="A184" s="49"/>
      <c r="B184" s="49"/>
      <c r="C184" s="49"/>
      <c r="D184" s="50"/>
      <c r="E184" s="50"/>
      <c r="F184" s="50"/>
      <c r="G184" s="50"/>
    </row>
    <row r="185" spans="1:7">
      <c r="A185" s="49"/>
      <c r="B185" s="49"/>
      <c r="C185" s="49"/>
      <c r="D185" s="50"/>
      <c r="E185" s="50"/>
      <c r="F185" s="50"/>
      <c r="G185" s="50"/>
    </row>
    <row r="186" spans="1:7">
      <c r="A186" s="49"/>
      <c r="B186" s="49"/>
      <c r="C186" s="49"/>
      <c r="D186" s="50"/>
      <c r="E186" s="50"/>
      <c r="F186" s="50"/>
      <c r="G186" s="50"/>
    </row>
    <row r="187" spans="1:7">
      <c r="A187" s="49"/>
      <c r="B187" s="49"/>
      <c r="C187" s="49"/>
      <c r="D187" s="50"/>
      <c r="E187" s="50"/>
      <c r="F187" s="50"/>
      <c r="G187" s="50"/>
    </row>
    <row r="188" spans="1:7">
      <c r="A188" s="20"/>
      <c r="B188" s="21"/>
      <c r="C188" s="21"/>
      <c r="D188" s="21"/>
      <c r="E188" s="17"/>
      <c r="F188" s="21"/>
      <c r="G188" s="16"/>
    </row>
    <row r="189" spans="1:7">
      <c r="A189" s="20"/>
      <c r="B189" s="21"/>
      <c r="C189" s="21"/>
      <c r="D189" s="21"/>
      <c r="E189" s="17"/>
      <c r="F189" s="21"/>
      <c r="G189" s="16"/>
    </row>
    <row r="190" spans="1:7">
      <c r="A190" s="20"/>
      <c r="B190" s="21"/>
      <c r="C190" s="21"/>
      <c r="D190" s="21"/>
      <c r="E190" s="17"/>
      <c r="F190" s="21"/>
      <c r="G190" s="16"/>
    </row>
    <row r="191" spans="1:7">
      <c r="A191" s="20"/>
      <c r="B191" s="21"/>
      <c r="C191" s="21"/>
      <c r="D191" s="21"/>
      <c r="E191" s="17"/>
      <c r="F191" s="21"/>
      <c r="G191" s="16"/>
    </row>
  </sheetData>
  <mergeCells count="97">
    <mergeCell ref="A89:B89"/>
    <mergeCell ref="A84:B84"/>
    <mergeCell ref="A72:G72"/>
    <mergeCell ref="C74:C78"/>
    <mergeCell ref="A73:B73"/>
    <mergeCell ref="A78:B78"/>
    <mergeCell ref="D73:E73"/>
    <mergeCell ref="A74:B74"/>
    <mergeCell ref="A75:B75"/>
    <mergeCell ref="A76:B76"/>
    <mergeCell ref="C82:C89"/>
    <mergeCell ref="A85:B85"/>
    <mergeCell ref="A86:B86"/>
    <mergeCell ref="A87:B87"/>
    <mergeCell ref="A88:B88"/>
    <mergeCell ref="A68:B68"/>
    <mergeCell ref="A81:B81"/>
    <mergeCell ref="D81:E81"/>
    <mergeCell ref="A82:B82"/>
    <mergeCell ref="A83:B83"/>
    <mergeCell ref="A70:B70"/>
    <mergeCell ref="A69:B69"/>
    <mergeCell ref="C8:D8"/>
    <mergeCell ref="A61:B61"/>
    <mergeCell ref="A62:B62"/>
    <mergeCell ref="A63:B63"/>
    <mergeCell ref="A64:B64"/>
    <mergeCell ref="D61:E61"/>
    <mergeCell ref="B24:B25"/>
    <mergeCell ref="C24:F25"/>
    <mergeCell ref="C14:F15"/>
    <mergeCell ref="C16:F17"/>
    <mergeCell ref="B12:B13"/>
    <mergeCell ref="B14:B15"/>
    <mergeCell ref="B16:B17"/>
    <mergeCell ref="B18:B19"/>
    <mergeCell ref="B20:B21"/>
    <mergeCell ref="C12:F13"/>
    <mergeCell ref="A106:B106"/>
    <mergeCell ref="A107:B107"/>
    <mergeCell ref="A111:B111"/>
    <mergeCell ref="A109:G109"/>
    <mergeCell ref="C94:C107"/>
    <mergeCell ref="A94:B94"/>
    <mergeCell ref="D9:F9"/>
    <mergeCell ref="B27:G33"/>
    <mergeCell ref="B35:G52"/>
    <mergeCell ref="B10:B11"/>
    <mergeCell ref="A104:B104"/>
    <mergeCell ref="B22:B23"/>
    <mergeCell ref="A60:G60"/>
    <mergeCell ref="A80:G80"/>
    <mergeCell ref="E54:G54"/>
    <mergeCell ref="A92:G92"/>
    <mergeCell ref="A93:B93"/>
    <mergeCell ref="D93:E93"/>
    <mergeCell ref="A77:B77"/>
    <mergeCell ref="A65:B65"/>
    <mergeCell ref="A66:B66"/>
    <mergeCell ref="A67:B67"/>
    <mergeCell ref="A182:C182"/>
    <mergeCell ref="E125:F125"/>
    <mergeCell ref="A95:B95"/>
    <mergeCell ref="A96:B96"/>
    <mergeCell ref="A97:B97"/>
    <mergeCell ref="A98:B98"/>
    <mergeCell ref="A99:B99"/>
    <mergeCell ref="A100:B100"/>
    <mergeCell ref="A101:B101"/>
    <mergeCell ref="A102:B102"/>
    <mergeCell ref="A103:B103"/>
    <mergeCell ref="A110:B110"/>
    <mergeCell ref="D110:E110"/>
    <mergeCell ref="A121:B121"/>
    <mergeCell ref="D121:E121"/>
    <mergeCell ref="A105:B105"/>
    <mergeCell ref="A113:B113"/>
    <mergeCell ref="A114:B114"/>
    <mergeCell ref="A181:G181"/>
    <mergeCell ref="A120:G120"/>
    <mergeCell ref="C122:C124"/>
    <mergeCell ref="C10:F11"/>
    <mergeCell ref="C18:F19"/>
    <mergeCell ref="C20:F21"/>
    <mergeCell ref="C22:F23"/>
    <mergeCell ref="A183:C187"/>
    <mergeCell ref="D183:G187"/>
    <mergeCell ref="D182:G182"/>
    <mergeCell ref="A115:B115"/>
    <mergeCell ref="A116:B116"/>
    <mergeCell ref="A117:B117"/>
    <mergeCell ref="A118:B118"/>
    <mergeCell ref="C111:C118"/>
    <mergeCell ref="A122:B122"/>
    <mergeCell ref="A123:B123"/>
    <mergeCell ref="A124:B124"/>
    <mergeCell ref="A112:B112"/>
  </mergeCells>
  <phoneticPr fontId="8" type="noConversion"/>
  <hyperlinks>
    <hyperlink ref="C22" r:id="rId1" display="habibecekic@ettat.com.tr" xr:uid="{CDBCD32A-37A8-460D-9693-1269DF5B3F83}"/>
  </hyperlinks>
  <pageMargins left="0.11811023622047245" right="0.11811023622047245" top="0.11811023622047245" bottom="0.29296875" header="0" footer="0.11811023622047245"/>
  <pageSetup paperSize="9" scale="90" orientation="portrait" horizontalDpi="0" verticalDpi="0" r:id="rId2"/>
  <headerFooter>
    <oddFooter>&amp;LFRM.01/Rev:09/11.11.2024</oddFooter>
  </headerFooter>
  <drawing r:id="rId3"/>
  <extLst>
    <ext xmlns:mx="http://schemas.microsoft.com/office/mac/excel/2008/main" uri="{64002731-A6B0-56B0-2670-7721B7C09600}">
      <mx:PLV Mode="1"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M19" sqref="M19"/>
    </sheetView>
  </sheetViews>
  <sheetFormatPr defaultColWidth="11"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Sayfa2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ÖNDER MUAYENE TEST VE ÖLÇÜM LAB.</dc:creator>
  <cp:keywords/>
  <dc:description/>
  <cp:lastModifiedBy>hp</cp:lastModifiedBy>
  <cp:lastPrinted>2025-05-03T08:08:48Z</cp:lastPrinted>
  <dcterms:created xsi:type="dcterms:W3CDTF">2016-12-07T16:16:00Z</dcterms:created>
  <dcterms:modified xsi:type="dcterms:W3CDTF">2025-10-08T07:10:14Z</dcterms:modified>
  <cp:category/>
</cp:coreProperties>
</file>