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1.104\önder muayene\2. PERİYODİK KONTROL(MUAYENE)\1- MUAYENE ÖLÇÜM RAPORLARI\5. Tesisat Kontrolü\Yangın tesisatı Yeni\"/>
    </mc:Choice>
  </mc:AlternateContent>
  <xr:revisionPtr revIDLastSave="0" documentId="13_ncr:1_{1B8E8DD7-834E-41B9-9503-12C9884536C7}" xr6:coauthVersionLast="47" xr6:coauthVersionMax="47" xr10:uidLastSave="{00000000-0000-0000-0000-000000000000}"/>
  <bookViews>
    <workbookView xWindow="1035" yWindow="1080" windowWidth="17760" windowHeight="117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F49" i="1" s="1"/>
  <c r="C49" i="1"/>
  <c r="E47" i="1"/>
  <c r="F47" i="1" s="1"/>
  <c r="F30" i="1"/>
  <c r="E30" i="1"/>
  <c r="E28" i="1"/>
  <c r="F28" i="1" s="1"/>
  <c r="E11" i="1"/>
  <c r="F11" i="1" s="1"/>
  <c r="E9" i="1"/>
  <c r="F9" i="1" s="1"/>
  <c r="C30" i="1"/>
  <c r="C11" i="1"/>
</calcChain>
</file>

<file path=xl/sharedStrings.xml><?xml version="1.0" encoding="utf-8"?>
<sst xmlns="http://schemas.openxmlformats.org/spreadsheetml/2006/main" count="46" uniqueCount="14">
  <si>
    <t>Test</t>
  </si>
  <si>
    <t>Ölçülen Debi</t>
  </si>
  <si>
    <r>
      <t>(</t>
    </r>
    <r>
      <rPr>
        <sz val="8"/>
        <color rgb="FF000000"/>
        <rFont val="Calibri"/>
        <family val="2"/>
        <charset val="162"/>
      </rPr>
      <t>m3/h</t>
    </r>
    <r>
      <rPr>
        <b/>
        <sz val="8"/>
        <color rgb="FF000000"/>
        <rFont val="Calibri"/>
        <family val="2"/>
        <charset val="162"/>
      </rPr>
      <t>)</t>
    </r>
  </si>
  <si>
    <t>Debi Oranı</t>
  </si>
  <si>
    <t>( Ölçülen / Anma )</t>
  </si>
  <si>
    <r>
      <t>(</t>
    </r>
    <r>
      <rPr>
        <sz val="8"/>
        <color rgb="FF000000"/>
        <rFont val="Calibri"/>
        <family val="2"/>
        <charset val="162"/>
      </rPr>
      <t>%</t>
    </r>
    <r>
      <rPr>
        <b/>
        <sz val="8"/>
        <color rgb="FF000000"/>
        <rFont val="Calibri"/>
        <family val="2"/>
        <charset val="162"/>
      </rPr>
      <t>)</t>
    </r>
  </si>
  <si>
    <t>Sınır</t>
  </si>
  <si>
    <t>Vana Tam Kapalı</t>
  </si>
  <si>
    <t>% 100 Debi</t>
  </si>
  <si>
    <t>% 150 Debi</t>
  </si>
  <si>
    <t>Test No</t>
  </si>
  <si>
    <t>Ölçülen Basma Yüksekliği</t>
  </si>
  <si>
    <t>(mss)</t>
  </si>
  <si>
    <t>Basma Yüksekliği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</si>
</sst>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charset val="162"/>
    </font>
    <font>
      <sz val="8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YANGIN</a:t>
            </a:r>
            <a:r>
              <a:rPr lang="tr-TR" baseline="0"/>
              <a:t> POMPASI KAREKTERİSTİK EĞRİSİ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Sayfa1!$G$9:$G$11</c:f>
              <c:numCache>
                <c:formatCode>General</c:formatCode>
                <c:ptCount val="3"/>
                <c:pt idx="0">
                  <c:v>140</c:v>
                </c:pt>
                <c:pt idx="1">
                  <c:v>100</c:v>
                </c:pt>
                <c:pt idx="2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A-41B9-A482-09178702EA6E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Sayfa1!$F$9:$F$11</c:f>
              <c:numCache>
                <c:formatCode>General</c:formatCode>
                <c:ptCount val="3"/>
                <c:pt idx="0">
                  <c:v>120</c:v>
                </c:pt>
                <c:pt idx="1">
                  <c:v>100</c:v>
                </c:pt>
                <c:pt idx="2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0A-41B9-A482-09178702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18544"/>
        <c:axId val="525820512"/>
      </c:scatterChart>
      <c:valAx>
        <c:axId val="525818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Debi </a:t>
                </a:r>
                <a:r>
                  <a:rPr lang="tr-TR" sz="1000" b="0" i="0" u="none" strike="noStrike" baseline="0">
                    <a:effectLst/>
                  </a:rPr>
                  <a:t>(%)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20512"/>
        <c:crosses val="autoZero"/>
        <c:crossBetween val="midCat"/>
      </c:valAx>
      <c:valAx>
        <c:axId val="5258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BASMA YÜKSEKLİĞİ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1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YANGIN</a:t>
            </a:r>
            <a:r>
              <a:rPr lang="tr-TR" baseline="0"/>
              <a:t> POMPASI KAREKTERİSTİK EĞRİSİ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Sayfa1!$G$9:$G$11</c:f>
              <c:numCache>
                <c:formatCode>General</c:formatCode>
                <c:ptCount val="3"/>
                <c:pt idx="0">
                  <c:v>140</c:v>
                </c:pt>
                <c:pt idx="1">
                  <c:v>100</c:v>
                </c:pt>
                <c:pt idx="2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D-4458-AD07-CA667AAABB1A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Sayfa1!$F$9:$F$11</c:f>
              <c:numCache>
                <c:formatCode>General</c:formatCode>
                <c:ptCount val="3"/>
                <c:pt idx="0">
                  <c:v>120</c:v>
                </c:pt>
                <c:pt idx="1">
                  <c:v>100</c:v>
                </c:pt>
                <c:pt idx="2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1D-4458-AD07-CA667AAA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18544"/>
        <c:axId val="525820512"/>
      </c:scatterChart>
      <c:valAx>
        <c:axId val="525818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Debi </a:t>
                </a:r>
                <a:r>
                  <a:rPr lang="tr-TR" sz="1000" b="0" i="0" u="none" strike="noStrike" baseline="0">
                    <a:effectLst/>
                  </a:rPr>
                  <a:t>(%)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20512"/>
        <c:crosses val="autoZero"/>
        <c:crossBetween val="midCat"/>
      </c:valAx>
      <c:valAx>
        <c:axId val="5258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BASMA YÜKSEKLİĞİ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1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YANGIN</a:t>
            </a:r>
            <a:r>
              <a:rPr lang="tr-TR" baseline="0"/>
              <a:t> POMPASI KAREKTERİSTİK EĞRİSİ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Sayfa1!$G$9:$G$11</c:f>
              <c:numCache>
                <c:formatCode>General</c:formatCode>
                <c:ptCount val="3"/>
                <c:pt idx="0">
                  <c:v>140</c:v>
                </c:pt>
                <c:pt idx="1">
                  <c:v>100</c:v>
                </c:pt>
                <c:pt idx="2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67-4359-8D12-E944637EBEB2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Sayfa1!$D$9:$D$11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Sayfa1!$F$9:$F$11</c:f>
              <c:numCache>
                <c:formatCode>General</c:formatCode>
                <c:ptCount val="3"/>
                <c:pt idx="0">
                  <c:v>120</c:v>
                </c:pt>
                <c:pt idx="1">
                  <c:v>100</c:v>
                </c:pt>
                <c:pt idx="2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67-4359-8D12-E944637E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18544"/>
        <c:axId val="525820512"/>
      </c:scatterChart>
      <c:valAx>
        <c:axId val="525818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Debi </a:t>
                </a:r>
                <a:r>
                  <a:rPr lang="tr-TR" sz="1000" b="0" i="0" u="none" strike="noStrike" baseline="0">
                    <a:effectLst/>
                  </a:rPr>
                  <a:t>(%)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20512"/>
        <c:crosses val="autoZero"/>
        <c:crossBetween val="midCat"/>
      </c:valAx>
      <c:valAx>
        <c:axId val="5258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BASMA YÜKSEKLİĞİ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581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22</xdr:row>
      <xdr:rowOff>85725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A631F92-02D9-40E5-B470-9731DC59F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27</xdr:row>
      <xdr:rowOff>133350</xdr:rowOff>
    </xdr:from>
    <xdr:to>
      <xdr:col>15</xdr:col>
      <xdr:colOff>228600</xdr:colOff>
      <xdr:row>41</xdr:row>
      <xdr:rowOff>85725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DFE20BE-2A99-44F3-A98D-ECFEC1D48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46</xdr:row>
      <xdr:rowOff>133350</xdr:rowOff>
    </xdr:from>
    <xdr:to>
      <xdr:col>15</xdr:col>
      <xdr:colOff>228600</xdr:colOff>
      <xdr:row>60</xdr:row>
      <xdr:rowOff>85725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9A5CBC89-E417-447B-A17E-74E2B7D7D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G51"/>
  <sheetViews>
    <sheetView tabSelected="1" topLeftCell="B31" workbookViewId="0">
      <selection activeCell="C47" sqref="C47:F49"/>
    </sheetView>
  </sheetViews>
  <sheetFormatPr defaultRowHeight="15" x14ac:dyDescent="0.25"/>
  <cols>
    <col min="6" max="6" width="10" bestFit="1" customWidth="1"/>
  </cols>
  <sheetData>
    <row r="6" spans="1:7" ht="33.75" x14ac:dyDescent="0.25">
      <c r="A6" s="9" t="s">
        <v>10</v>
      </c>
      <c r="B6" s="9" t="s">
        <v>0</v>
      </c>
      <c r="C6" s="1" t="s">
        <v>1</v>
      </c>
      <c r="D6" s="1" t="s">
        <v>3</v>
      </c>
      <c r="E6" s="1" t="s">
        <v>11</v>
      </c>
      <c r="F6" s="1" t="s">
        <v>13</v>
      </c>
      <c r="G6" s="9" t="s">
        <v>6</v>
      </c>
    </row>
    <row r="7" spans="1:7" ht="22.5" x14ac:dyDescent="0.25">
      <c r="A7" s="9"/>
      <c r="B7" s="9"/>
      <c r="C7" s="1" t="s">
        <v>2</v>
      </c>
      <c r="D7" s="1" t="s">
        <v>4</v>
      </c>
      <c r="E7" s="1" t="s">
        <v>12</v>
      </c>
      <c r="F7" s="1" t="s">
        <v>4</v>
      </c>
      <c r="G7" s="9"/>
    </row>
    <row r="8" spans="1:7" ht="15.75" thickBot="1" x14ac:dyDescent="0.3">
      <c r="A8" s="10"/>
      <c r="B8" s="10"/>
      <c r="C8" s="2"/>
      <c r="D8" s="3" t="s">
        <v>5</v>
      </c>
      <c r="E8" s="2"/>
      <c r="F8" s="3" t="s">
        <v>5</v>
      </c>
      <c r="G8" s="10"/>
    </row>
    <row r="9" spans="1:7" ht="23.25" thickBot="1" x14ac:dyDescent="0.3">
      <c r="A9" s="6">
        <v>1</v>
      </c>
      <c r="B9" s="4" t="s">
        <v>7</v>
      </c>
      <c r="C9" s="5">
        <v>0</v>
      </c>
      <c r="D9" s="5">
        <v>0</v>
      </c>
      <c r="E9" s="5">
        <f>E10*1.2</f>
        <v>108</v>
      </c>
      <c r="F9" s="5">
        <f>(E9-E10)/E10*100+100</f>
        <v>120</v>
      </c>
      <c r="G9" s="8">
        <v>140</v>
      </c>
    </row>
    <row r="10" spans="1:7" ht="15.75" thickBot="1" x14ac:dyDescent="0.3">
      <c r="A10" s="6">
        <v>2</v>
      </c>
      <c r="B10" s="4" t="s">
        <v>8</v>
      </c>
      <c r="C10" s="5">
        <v>170</v>
      </c>
      <c r="D10" s="5">
        <v>100</v>
      </c>
      <c r="E10" s="5">
        <v>90</v>
      </c>
      <c r="F10" s="5">
        <v>100</v>
      </c>
      <c r="G10" s="8">
        <v>100</v>
      </c>
    </row>
    <row r="11" spans="1:7" ht="15.75" thickBot="1" x14ac:dyDescent="0.3">
      <c r="A11" s="6">
        <v>3</v>
      </c>
      <c r="B11" s="4" t="s">
        <v>9</v>
      </c>
      <c r="C11" s="5">
        <f>C10*1.5</f>
        <v>255</v>
      </c>
      <c r="D11" s="5">
        <v>150</v>
      </c>
      <c r="E11" s="5">
        <f>E10*0.85</f>
        <v>76.5</v>
      </c>
      <c r="F11" s="5">
        <f>-(E10-E11)/E10*100+100</f>
        <v>85</v>
      </c>
      <c r="G11" s="8">
        <v>65</v>
      </c>
    </row>
    <row r="13" spans="1:7" x14ac:dyDescent="0.25">
      <c r="B13" s="7"/>
    </row>
    <row r="25" spans="2:7" ht="33.75" x14ac:dyDescent="0.25">
      <c r="B25" s="9" t="s">
        <v>0</v>
      </c>
      <c r="C25" s="1" t="s">
        <v>1</v>
      </c>
      <c r="D25" s="1" t="s">
        <v>3</v>
      </c>
      <c r="E25" s="1" t="s">
        <v>11</v>
      </c>
      <c r="F25" s="1" t="s">
        <v>13</v>
      </c>
      <c r="G25" s="9" t="s">
        <v>6</v>
      </c>
    </row>
    <row r="26" spans="2:7" ht="22.5" x14ac:dyDescent="0.25">
      <c r="B26" s="9"/>
      <c r="C26" s="1" t="s">
        <v>2</v>
      </c>
      <c r="D26" s="1" t="s">
        <v>4</v>
      </c>
      <c r="E26" s="1" t="s">
        <v>12</v>
      </c>
      <c r="F26" s="1" t="s">
        <v>4</v>
      </c>
      <c r="G26" s="9"/>
    </row>
    <row r="27" spans="2:7" ht="15.75" thickBot="1" x14ac:dyDescent="0.3">
      <c r="B27" s="10"/>
      <c r="C27" s="2"/>
      <c r="D27" s="3" t="s">
        <v>5</v>
      </c>
      <c r="E27" s="2"/>
      <c r="F27" s="3" t="s">
        <v>5</v>
      </c>
      <c r="G27" s="10"/>
    </row>
    <row r="28" spans="2:7" ht="23.25" thickBot="1" x14ac:dyDescent="0.3">
      <c r="B28" s="4" t="s">
        <v>7</v>
      </c>
      <c r="C28" s="5">
        <v>0</v>
      </c>
      <c r="D28" s="5">
        <v>0</v>
      </c>
      <c r="E28" s="5">
        <f>E29*1.3</f>
        <v>195</v>
      </c>
      <c r="F28" s="5">
        <f>(E28-E29)/E29*100+100</f>
        <v>130</v>
      </c>
      <c r="G28" s="8">
        <v>140</v>
      </c>
    </row>
    <row r="29" spans="2:7" ht="15.75" thickBot="1" x14ac:dyDescent="0.3">
      <c r="B29" s="4" t="s">
        <v>8</v>
      </c>
      <c r="C29" s="5">
        <v>170</v>
      </c>
      <c r="D29" s="5">
        <v>100</v>
      </c>
      <c r="E29" s="5">
        <v>150</v>
      </c>
      <c r="F29" s="5">
        <v>100</v>
      </c>
      <c r="G29" s="8">
        <v>100</v>
      </c>
    </row>
    <row r="30" spans="2:7" ht="15.75" thickBot="1" x14ac:dyDescent="0.3">
      <c r="B30" s="4" t="s">
        <v>9</v>
      </c>
      <c r="C30" s="5">
        <f>C29*1.5</f>
        <v>255</v>
      </c>
      <c r="D30" s="5">
        <v>150</v>
      </c>
      <c r="E30" s="5">
        <f>E29*0.9</f>
        <v>135</v>
      </c>
      <c r="F30" s="5">
        <f>-(E29-E30)/E29*100+100</f>
        <v>90</v>
      </c>
      <c r="G30" s="8">
        <v>65</v>
      </c>
    </row>
    <row r="32" spans="2:7" x14ac:dyDescent="0.25">
      <c r="B32" s="7"/>
    </row>
    <row r="44" spans="2:7" ht="33.75" x14ac:dyDescent="0.25">
      <c r="B44" s="9" t="s">
        <v>0</v>
      </c>
      <c r="C44" s="1" t="s">
        <v>1</v>
      </c>
      <c r="D44" s="1" t="s">
        <v>3</v>
      </c>
      <c r="E44" s="1" t="s">
        <v>11</v>
      </c>
      <c r="F44" s="1" t="s">
        <v>13</v>
      </c>
      <c r="G44" s="9" t="s">
        <v>6</v>
      </c>
    </row>
    <row r="45" spans="2:7" ht="22.5" x14ac:dyDescent="0.25">
      <c r="B45" s="9"/>
      <c r="C45" s="1" t="s">
        <v>2</v>
      </c>
      <c r="D45" s="1" t="s">
        <v>4</v>
      </c>
      <c r="E45" s="1" t="s">
        <v>12</v>
      </c>
      <c r="F45" s="1" t="s">
        <v>4</v>
      </c>
      <c r="G45" s="9"/>
    </row>
    <row r="46" spans="2:7" ht="15.75" thickBot="1" x14ac:dyDescent="0.3">
      <c r="B46" s="10"/>
      <c r="C46" s="2"/>
      <c r="D46" s="3" t="s">
        <v>5</v>
      </c>
      <c r="E46" s="2"/>
      <c r="F46" s="3" t="s">
        <v>5</v>
      </c>
      <c r="G46" s="10"/>
    </row>
    <row r="47" spans="2:7" ht="23.25" thickBot="1" x14ac:dyDescent="0.3">
      <c r="B47" s="4" t="s">
        <v>7</v>
      </c>
      <c r="C47" s="5">
        <v>0</v>
      </c>
      <c r="D47" s="5">
        <v>0</v>
      </c>
      <c r="E47" s="5">
        <f>E48*1.3</f>
        <v>123.5</v>
      </c>
      <c r="F47" s="5">
        <f>(E47-E48)/E48*100+100</f>
        <v>130</v>
      </c>
      <c r="G47" s="8">
        <v>140</v>
      </c>
    </row>
    <row r="48" spans="2:7" ht="15.75" thickBot="1" x14ac:dyDescent="0.3">
      <c r="B48" s="4" t="s">
        <v>8</v>
      </c>
      <c r="C48" s="5">
        <v>5</v>
      </c>
      <c r="D48" s="5">
        <v>100</v>
      </c>
      <c r="E48" s="5">
        <v>95</v>
      </c>
      <c r="F48" s="5">
        <v>100</v>
      </c>
      <c r="G48" s="8">
        <v>100</v>
      </c>
    </row>
    <row r="49" spans="2:7" ht="15.75" thickBot="1" x14ac:dyDescent="0.3">
      <c r="B49" s="4" t="s">
        <v>9</v>
      </c>
      <c r="C49" s="5">
        <f>C48*1.5</f>
        <v>7.5</v>
      </c>
      <c r="D49" s="5">
        <v>150</v>
      </c>
      <c r="E49" s="5">
        <f>E48*0.9</f>
        <v>85.5</v>
      </c>
      <c r="F49" s="5">
        <f>-(E48-E49)/E48*100+100</f>
        <v>90</v>
      </c>
      <c r="G49" s="8">
        <v>65</v>
      </c>
    </row>
    <row r="51" spans="2:7" x14ac:dyDescent="0.25">
      <c r="B51" s="7"/>
    </row>
  </sheetData>
  <mergeCells count="7">
    <mergeCell ref="B44:B46"/>
    <mergeCell ref="G44:G46"/>
    <mergeCell ref="A6:A8"/>
    <mergeCell ref="B6:B8"/>
    <mergeCell ref="G6:G8"/>
    <mergeCell ref="B25:B27"/>
    <mergeCell ref="G25:G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2025-10-22T13:34:36Z</dcterms:modified>
</cp:coreProperties>
</file>