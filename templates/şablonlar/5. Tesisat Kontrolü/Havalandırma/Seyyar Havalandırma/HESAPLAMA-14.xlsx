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showInkAnnotation="0"/>
  <mc:AlternateContent xmlns:mc="http://schemas.openxmlformats.org/markup-compatibility/2006">
    <mc:Choice Requires="x15">
      <x15ac:absPath xmlns:x15ac="http://schemas.microsoft.com/office/spreadsheetml/2010/11/ac" url="\\192.168.1.104\önder muayene\3. MÜŞTERİ DOSYASI\2025\281-ASELKON\MEKANİK\Tesisat Kontrolü\Havalandırma\"/>
    </mc:Choice>
  </mc:AlternateContent>
  <xr:revisionPtr revIDLastSave="0" documentId="13_ncr:1_{A2DA1927-654B-4D92-B17D-721B71D9177E}" xr6:coauthVersionLast="47" xr6:coauthVersionMax="47" xr10:uidLastSave="{00000000-0000-0000-0000-000000000000}"/>
  <bookViews>
    <workbookView xWindow="780" yWindow="780" windowWidth="13800" windowHeight="10530" tabRatio="645" xr2:uid="{00000000-000D-0000-FFFF-FFFF00000000}"/>
  </bookViews>
  <sheets>
    <sheet name="1" sheetId="11" r:id="rId1"/>
    <sheet name="Sayfa1" sheetId="12" r:id="rId2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7" i="12" l="1"/>
  <c r="G5" i="12"/>
  <c r="D5" i="12"/>
  <c r="F7" i="11"/>
  <c r="B9" i="11" l="1"/>
  <c r="B13" i="11" s="1"/>
  <c r="D25" i="11" s="1"/>
</calcChain>
</file>

<file path=xl/sharedStrings.xml><?xml version="1.0" encoding="utf-8"?>
<sst xmlns="http://schemas.openxmlformats.org/spreadsheetml/2006/main" count="39" uniqueCount="35">
  <si>
    <t>HAVALANDIRMA  KAPASİTE UYGUNLUK HESAPLAMA VE RAPORLAMA</t>
  </si>
  <si>
    <t>TOPLAM DEBİ</t>
  </si>
  <si>
    <t>HAVA DEĞİŞİM KATSAYISI</t>
  </si>
  <si>
    <t>TOPLAM HAVALANDIMA M3 /HACİM M3 =</t>
  </si>
  <si>
    <t>DEBİ</t>
  </si>
  <si>
    <t>HAVA M3 =</t>
  </si>
  <si>
    <t>(m3/s)</t>
  </si>
  <si>
    <t>(m/s)</t>
  </si>
  <si>
    <t>HIZ</t>
  </si>
  <si>
    <t xml:space="preserve"> GEREKEN HAVA DEĞİŞİM KATSATISI =</t>
  </si>
  <si>
    <t>KONUMU</t>
  </si>
  <si>
    <t>MENFEZ (EMİŞ)</t>
  </si>
  <si>
    <t>HESAPLANAN DEBİYE GÖRE  BİR SAATLİK TEMİZ HAVA(M3)</t>
  </si>
  <si>
    <t>(m2)</t>
  </si>
  <si>
    <t>(TOPLAM DEBİX3600) (M3/H)</t>
  </si>
  <si>
    <t xml:space="preserve"> HACİM HESABI</t>
  </si>
  <si>
    <t>HACİM=</t>
  </si>
  <si>
    <t>A() X B() X C()</t>
  </si>
  <si>
    <t>M3</t>
  </si>
  <si>
    <t>LOKAL HAVALANDIRMA</t>
  </si>
  <si>
    <t>1 NOLU</t>
  </si>
  <si>
    <t>MENFEZ KESİT</t>
  </si>
  <si>
    <t>dikdörgen ise</t>
  </si>
  <si>
    <t>a</t>
  </si>
  <si>
    <t>b</t>
  </si>
  <si>
    <t>sonuç</t>
  </si>
  <si>
    <t>daire ise</t>
  </si>
  <si>
    <t>Q</t>
  </si>
  <si>
    <t>hacim</t>
  </si>
  <si>
    <t>en</t>
  </si>
  <si>
    <t>boy</t>
  </si>
  <si>
    <t>yükseklik</t>
  </si>
  <si>
    <t>m yazılacak</t>
  </si>
  <si>
    <t>Cm ve tam çap eklenecek</t>
  </si>
  <si>
    <t>YER:NAMLU KAYNAK HATTI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</si>
</sst>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4" borderId="0" xfId="0" applyFill="1"/>
    <xf numFmtId="0" fontId="12" fillId="0" borderId="0" xfId="0" applyFont="1"/>
    <xf numFmtId="0" fontId="13" fillId="0" borderId="0" xfId="0" applyFont="1"/>
    <xf numFmtId="0" fontId="0" fillId="0" borderId="1" xfId="0" applyBorder="1" applyAlignment="1">
      <alignment horizontal="center" vertical="center"/>
    </xf>
    <xf numFmtId="1" fontId="8" fillId="0" borderId="0" xfId="0" quotePrefix="1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3">
    <cellStyle name="İzlenen Köprü" xfId="2" builtinId="9" hidden="1"/>
    <cellStyle name="Köprü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CE4C-B021-45F2-B13D-EF39C9214D17}">
  <dimension ref="A1:J26"/>
  <sheetViews>
    <sheetView tabSelected="1" topLeftCell="A15" workbookViewId="0">
      <selection activeCell="D25" sqref="A1:F26"/>
    </sheetView>
  </sheetViews>
  <sheetFormatPr defaultColWidth="11.25" defaultRowHeight="15.75" x14ac:dyDescent="0.25"/>
  <cols>
    <col min="1" max="1" width="12.625" customWidth="1"/>
    <col min="2" max="2" width="22" bestFit="1" customWidth="1"/>
    <col min="4" max="5" width="8.375" customWidth="1"/>
  </cols>
  <sheetData>
    <row r="1" spans="1:10" ht="19.5" x14ac:dyDescent="0.3">
      <c r="A1" s="32" t="s">
        <v>0</v>
      </c>
      <c r="B1" s="32"/>
      <c r="C1" s="32"/>
      <c r="D1" s="32"/>
      <c r="E1" s="32"/>
      <c r="F1" s="32"/>
      <c r="G1" s="2"/>
      <c r="H1" s="2"/>
      <c r="I1" s="2"/>
      <c r="J1" s="2"/>
    </row>
    <row r="3" spans="1:10" x14ac:dyDescent="0.25">
      <c r="A3" s="33" t="s">
        <v>34</v>
      </c>
      <c r="B3" s="33"/>
      <c r="C3" s="33"/>
      <c r="D3" s="1"/>
      <c r="E3" s="1"/>
    </row>
    <row r="4" spans="1:10" x14ac:dyDescent="0.25">
      <c r="A4" s="1"/>
      <c r="B4" s="1"/>
      <c r="C4" s="1"/>
      <c r="D4" s="1"/>
      <c r="E4" s="1"/>
    </row>
    <row r="5" spans="1:10" x14ac:dyDescent="0.25">
      <c r="A5" s="34" t="s">
        <v>11</v>
      </c>
      <c r="B5" s="35" t="s">
        <v>10</v>
      </c>
      <c r="C5" s="8" t="s">
        <v>8</v>
      </c>
      <c r="D5" s="37" t="s">
        <v>21</v>
      </c>
      <c r="E5" s="37"/>
      <c r="F5" s="3" t="s">
        <v>4</v>
      </c>
    </row>
    <row r="6" spans="1:10" x14ac:dyDescent="0.25">
      <c r="A6" s="34"/>
      <c r="B6" s="36"/>
      <c r="C6" s="4" t="s">
        <v>7</v>
      </c>
      <c r="D6" s="38" t="s">
        <v>13</v>
      </c>
      <c r="E6" s="39"/>
      <c r="F6" s="11" t="s">
        <v>6</v>
      </c>
    </row>
    <row r="7" spans="1:10" ht="18" customHeight="1" x14ac:dyDescent="0.25">
      <c r="A7" s="14" t="s">
        <v>20</v>
      </c>
      <c r="B7" s="15" t="s">
        <v>19</v>
      </c>
      <c r="C7" s="20">
        <v>35.6</v>
      </c>
      <c r="D7" s="40">
        <v>1.7670000000000002E-2</v>
      </c>
      <c r="E7" s="41"/>
      <c r="F7" s="16">
        <f t="shared" ref="F7" si="0">C7*D7</f>
        <v>0.62905200000000006</v>
      </c>
    </row>
    <row r="9" spans="1:10" x14ac:dyDescent="0.25">
      <c r="A9" s="1" t="s">
        <v>1</v>
      </c>
      <c r="B9" s="12">
        <f>SUM(F7:F7)</f>
        <v>0.62905200000000006</v>
      </c>
      <c r="C9" s="13" t="s">
        <v>6</v>
      </c>
      <c r="D9" s="1"/>
    </row>
    <row r="11" spans="1:10" x14ac:dyDescent="0.25">
      <c r="A11" s="1" t="s">
        <v>12</v>
      </c>
      <c r="B11" s="1"/>
    </row>
    <row r="13" spans="1:10" x14ac:dyDescent="0.25">
      <c r="A13" t="s">
        <v>5</v>
      </c>
      <c r="B13" s="9">
        <f>B9*3600</f>
        <v>2264.5872000000004</v>
      </c>
      <c r="C13" s="22" t="s">
        <v>14</v>
      </c>
      <c r="D13" s="22"/>
      <c r="E13" s="22"/>
    </row>
    <row r="15" spans="1:10" x14ac:dyDescent="0.25">
      <c r="A15" s="1" t="s">
        <v>15</v>
      </c>
      <c r="B15" s="1"/>
    </row>
    <row r="17" spans="1:8" x14ac:dyDescent="0.25">
      <c r="A17" t="s">
        <v>16</v>
      </c>
      <c r="B17" t="s">
        <v>17</v>
      </c>
    </row>
    <row r="19" spans="1:8" x14ac:dyDescent="0.25">
      <c r="A19" t="s">
        <v>16</v>
      </c>
      <c r="B19" s="9">
        <v>1</v>
      </c>
      <c r="C19" t="s">
        <v>18</v>
      </c>
    </row>
    <row r="21" spans="1:8" x14ac:dyDescent="0.25">
      <c r="A21" s="1" t="s">
        <v>2</v>
      </c>
      <c r="B21" s="1"/>
    </row>
    <row r="23" spans="1:8" x14ac:dyDescent="0.25">
      <c r="A23" s="23" t="s">
        <v>9</v>
      </c>
      <c r="B23" s="23"/>
      <c r="C23" s="21">
        <v>30</v>
      </c>
      <c r="D23" s="10"/>
      <c r="E23" s="10"/>
      <c r="F23" s="6"/>
      <c r="G23" s="5"/>
      <c r="H23" s="1"/>
    </row>
    <row r="24" spans="1:8" ht="16.5" thickBot="1" x14ac:dyDescent="0.3">
      <c r="F24" s="1"/>
    </row>
    <row r="25" spans="1:8" ht="15.75" customHeight="1" x14ac:dyDescent="0.25">
      <c r="A25" s="24" t="s">
        <v>3</v>
      </c>
      <c r="B25" s="25"/>
      <c r="C25" s="25"/>
      <c r="D25" s="28">
        <f>B13/B19</f>
        <v>2264.5872000000004</v>
      </c>
      <c r="E25" s="28"/>
      <c r="F25" s="29"/>
      <c r="G25" s="7"/>
    </row>
    <row r="26" spans="1:8" ht="16.5" customHeight="1" thickBot="1" x14ac:dyDescent="0.3">
      <c r="A26" s="26"/>
      <c r="B26" s="27"/>
      <c r="C26" s="27"/>
      <c r="D26" s="30"/>
      <c r="E26" s="30"/>
      <c r="F26" s="31"/>
    </row>
  </sheetData>
  <mergeCells count="11">
    <mergeCell ref="C13:E13"/>
    <mergeCell ref="A23:B23"/>
    <mergeCell ref="A25:C26"/>
    <mergeCell ref="D25:F26"/>
    <mergeCell ref="A1:F1"/>
    <mergeCell ref="A3:C3"/>
    <mergeCell ref="A5:A6"/>
    <mergeCell ref="B5:B6"/>
    <mergeCell ref="D5:E5"/>
    <mergeCell ref="D6:E6"/>
    <mergeCell ref="D7:E7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5EF64-42B7-452F-A950-A461C3F98422}">
  <dimension ref="C2:J8"/>
  <sheetViews>
    <sheetView workbookViewId="0">
      <selection activeCell="F8" sqref="F8"/>
    </sheetView>
  </sheetViews>
  <sheetFormatPr defaultRowHeight="15.75" x14ac:dyDescent="0.25"/>
  <cols>
    <col min="4" max="4" width="12.375" customWidth="1"/>
    <col min="7" max="7" width="11.875" bestFit="1" customWidth="1"/>
    <col min="9" max="9" width="11.625" customWidth="1"/>
  </cols>
  <sheetData>
    <row r="2" spans="3:10" x14ac:dyDescent="0.25">
      <c r="C2" t="s">
        <v>22</v>
      </c>
      <c r="F2" t="s">
        <v>26</v>
      </c>
      <c r="I2" t="s">
        <v>28</v>
      </c>
    </row>
    <row r="3" spans="3:10" x14ac:dyDescent="0.25">
      <c r="C3" t="s">
        <v>23</v>
      </c>
      <c r="D3">
        <v>0.25</v>
      </c>
      <c r="F3" t="s">
        <v>27</v>
      </c>
      <c r="G3">
        <v>15</v>
      </c>
      <c r="I3" t="s">
        <v>29</v>
      </c>
      <c r="J3">
        <v>1.5</v>
      </c>
    </row>
    <row r="4" spans="3:10" x14ac:dyDescent="0.25">
      <c r="C4" t="s">
        <v>24</v>
      </c>
      <c r="D4">
        <v>0.15</v>
      </c>
      <c r="I4" t="s">
        <v>30</v>
      </c>
      <c r="J4">
        <v>4.5</v>
      </c>
    </row>
    <row r="5" spans="3:10" x14ac:dyDescent="0.25">
      <c r="C5" t="s">
        <v>25</v>
      </c>
      <c r="D5" s="17">
        <f>D3*D4</f>
        <v>3.7499999999999999E-2</v>
      </c>
      <c r="F5" t="s">
        <v>25</v>
      </c>
      <c r="G5" s="17">
        <f>(G3/2)*(G3/2)*3.1415/100/100</f>
        <v>1.7670937500000001E-2</v>
      </c>
      <c r="I5" t="s">
        <v>31</v>
      </c>
      <c r="J5">
        <v>2.5</v>
      </c>
    </row>
    <row r="6" spans="3:10" x14ac:dyDescent="0.25">
      <c r="F6" s="18" t="s">
        <v>33</v>
      </c>
      <c r="G6" s="18"/>
    </row>
    <row r="7" spans="3:10" x14ac:dyDescent="0.25">
      <c r="I7" t="s">
        <v>28</v>
      </c>
      <c r="J7">
        <f>J3*J4*J5</f>
        <v>16.875</v>
      </c>
    </row>
    <row r="8" spans="3:10" x14ac:dyDescent="0.25">
      <c r="I8" s="1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ÖNDER MUAYENE TEST VE ÖLÇÜM LAB.</dc:creator>
  <cp:lastModifiedBy>OEM</cp:lastModifiedBy>
  <cp:lastPrinted>2018-11-18T12:19:38Z</cp:lastPrinted>
  <dcterms:created xsi:type="dcterms:W3CDTF">2018-11-16T13:22:33Z</dcterms:created>
  <dcterms:modified xsi:type="dcterms:W3CDTF">2025-09-25T05:37:19Z</dcterms:modified>
</cp:coreProperties>
</file>